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Meu Drive\1. vp\UFSC\tcc\1. O TCC\"/>
    </mc:Choice>
  </mc:AlternateContent>
  <xr:revisionPtr revIDLastSave="0" documentId="13_ncr:1_{CFF1CFC3-00BF-4DFC-A712-5C089CC3B9C6}" xr6:coauthVersionLast="47" xr6:coauthVersionMax="47" xr10:uidLastSave="{00000000-0000-0000-0000-000000000000}"/>
  <workbookProtection workbookAlgorithmName="SHA-512" workbookHashValue="QzGLrqVdFzp9ETt1d8OsEx7sp6J7M7Fy0Zn1vh6baQG7Lp4fGD23FY/1s1VzFpFDgBTNUS2rmH6sqChZSTDQwQ==" workbookSaltValue="JQehcTLXFHBX92y6avIvsw==" workbookSpinCount="100000" lockStructure="1"/>
  <bookViews>
    <workbookView xWindow="28680" yWindow="-120" windowWidth="29040" windowHeight="16440" tabRatio="500" xr2:uid="{00000000-000D-0000-FFFF-FFFF00000000}"/>
  </bookViews>
  <sheets>
    <sheet name="Instrumento de Teste" sheetId="1" r:id="rId1"/>
    <sheet name="Resumo e Médias" sheetId="2" r:id="rId2"/>
  </sheets>
  <definedNames>
    <definedName name="_xlnm._FilterDatabase" localSheetId="0" hidden="1">'Instrumento de Teste'!$A$4:$N$28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2" l="1"/>
  <c r="B14" i="2"/>
  <c r="B13" i="2"/>
  <c r="B11" i="2"/>
  <c r="B10" i="2"/>
  <c r="B9" i="2"/>
  <c r="B7" i="2"/>
  <c r="B6" i="2"/>
  <c r="B5" i="2"/>
  <c r="B4" i="2"/>
  <c r="B15" i="2" l="1"/>
</calcChain>
</file>

<file path=xl/sharedStrings.xml><?xml version="1.0" encoding="utf-8"?>
<sst xmlns="http://schemas.openxmlformats.org/spreadsheetml/2006/main" count="209" uniqueCount="144">
  <si>
    <t>Instrumento de Validação do Protótipo Chatbot Sispetro AI — Autoavaliação com Gabarito Documental</t>
  </si>
  <si>
    <t>Critérios conforme seção 3.5 da metodologia. Escala de 1 (muito insatisfatório) a 5 (excelente). Preencher após cada consulta ao chatbot.</t>
  </si>
  <si>
    <t>ID</t>
  </si>
  <si>
    <t>Módulo Sispetro</t>
  </si>
  <si>
    <t>Tipo de pergunta</t>
  </si>
  <si>
    <t>Pergunta-teste</t>
  </si>
  <si>
    <t>Resposta do chatbot</t>
  </si>
  <si>
    <t>Trecho correspondente no manual (Confluence)</t>
  </si>
  <si>
    <t>1. Precisão semântica (1-5)</t>
  </si>
  <si>
    <t>2. Relevância contextual (1-5)</t>
  </si>
  <si>
    <t>3. Clareza e coerência (1-5)</t>
  </si>
  <si>
    <t>4. Usabilidade (1-5)*</t>
  </si>
  <si>
    <t>5. Potencial de aplicação (1-5)*</t>
  </si>
  <si>
    <t>Admitiu desconhecimento corretamente? (S/N/NA)</t>
  </si>
  <si>
    <t>Observações qualitativas</t>
  </si>
  <si>
    <t>Ação de ajuste recomendada</t>
  </si>
  <si>
    <t>Vendas</t>
  </si>
  <si>
    <t>Direta</t>
  </si>
  <si>
    <t>Quais áreas precisam aprovar um Pedido de Venda antes do faturamento?</t>
  </si>
  <si>
    <t>Para aprovar um Pedido de Venda antes do faturamento, as áreas que precisam realizar a aprovação são Vendas, Financeiro e Transporte. Cada uma dessas áreas tem a responsabilidade de analisar e aprovar o pedido de acordo com seus critérios específicos. A rotina de aprovação irá separar as aprovações por setor, facilitando a identificação do motivo pelo qual o pedido não foi aprovado. É importante que todos os setores envolvidos estejam alinhados para garantir que o processo de aprovação seja concluído de forma eficiente e sem problemas.</t>
  </si>
  <si>
    <t xml:space="preserve"> "Após aprovar um Pedido de Vendas pela área de Vendas, Financeiro e Transporte, ele ficará disponível para ser faturado..." (Consulta Pedidos Aprovados para Faturamento)
Confirmação da parte sobre adiantamento/aprovação automática: "Caso o pedido de adiantamento quantificado deva ser aprovado automaticamente... marque a opção 'Aprovar automaticamente pedidos com adiantamento quantificado'..." (Inclusão do Pedido de Venda)
Triangulação: mesma informação confirmada também em Aprovação do Pedido de Venda e Como emitir NF-e Venda.
Fonte(s): 
https://futura.atlassian.net/wiki/spaces/SPT/pages/2918974347/Consulta+Pedidos+aprovados+para+Faturamento
https://futura.atlassian.net/wiki/spaces/SPT/pages/2878440064/Aprova+o+do+Pedido+de+Venda
https://futura.atlassian.net/wiki/spaces/SPT/pages/2878439874/Inclus+o+do+Pedido+de+Venda
https://futura.atlassian.net/wiki/spaces/SPT/pages/2878440295/Como+emitir+NF-e+Venda</t>
  </si>
  <si>
    <t>NA</t>
  </si>
  <si>
    <t>Resposta correta e direta sobre os 3 setores que aprovam o pedido. Não trouxe informação extra sobre adiantamentos — o que é melhor, pois evita confundir o usuário com dados não pedidos.</t>
  </si>
  <si>
    <t>Fiscal/NFe</t>
  </si>
  <si>
    <t>Como cancelar uma Nota Fiscal Eletrônica no Sispetro?</t>
  </si>
  <si>
    <t>Olá! Para cancelar uma Nota Fiscal Eletrônica no Sispetro, primeiro é necessário garantir que a nota esteja ativa, ou seja, não cancelada. Em seguida, siga os seguintes passos:
1. Acesse a tela de Manutenção de Nota Fiscal Eletrônica.
2. Selecione e marque a nota fiscal em questão.
3. Clique no botão "Sincroniza".
4. Marque a opção "Envia e-mail com XML e DANFE/DACTE na Sincronização".
5. Verifique se a nota está realmente cancelada na Sefaz.
6. Caso o retorno seja Ok, o sistema irá gravar o número do protocolo de cancelamento.
Caso não seja possível cancelar a nota no Sispetro, siga o procedimento alternativo:
1. Faça a alteração do Tipo de Emissão da Natureza de Operação para Terceiros, desabilitando a Nf-e Eletrônica na aba "Por Filial".
2. Habilite o Perfil para Duplicar Nota Fiscal com o mesmo Número.
3. Crie uma nova Nota Fiscal informando a mesma chave de acesso da nota fiscal cancelada e com a mesma data.
4. Após isso, volte as configurações normais da natureza de operação e do perfil para duplicar nota fiscal.
Lembre-se de que a nota fiscal original cancelada não será excluída do Sispetro e a natureza de operação utilizada não poderá ser usada para notas fiscais de venda normais. Em caso de dúvidas, consulte os manuais técnicos do Sispetro ou entre em contato com a equipe de suporte técnico. Espero ter ajudado! Posso te auxiliar em mais alguma questão?</t>
  </si>
  <si>
    <t>Como cancelar uma Nota Fiscal
Para se cancelar uma Nota Fiscal de Venda, de Recebimento de Mercadorias, Complemento de Impostos/Preços e outras, acione a partir do Menu principal as opções - Movimentação / Faturamento / Manutenção NFs.
X Se a Nota Fiscal estiver com o frete vinculado ao contas a pagar, o cancelamento não será concluído. Para terminar o processo será necessário cancelar o vinculo do frete com o contas na manutenção de fretes.
Para realizar o cancelamento alguns perfis devem ser verificados, sendo eles: 
Perfil de Sistema: Ferramentas/Sistema/Aba Nota Fiscal
 - Notas Próprias e Terceiros
"Informa a data de cancelamento da NF" : dependendo da permissão do usuário é possível informar se é possível informar a data para notas próprias, de terceiros ou ambas. Caso o perfil esteja marcado será necessário, no momento do cancelamento, informar a data para o cancelamento do nota fiscal
 - "#Dias limite para cancelamento da NF": este parâmetro, a princípio, vai definir como toda a empresa vai trabalhar com relação aos dias para cancelamento de NF. Como os prazos para o cancelamento de notas próprias e de terceiros não são os mesmos, foi criado dois perfis para definir isto.
Há uma combinação para trabalhar com este perfil, verifique mais abaixo.
 - Informa motivo de cancelamento NF
Será necessário, no momento do cancelamento, informar o motivo de cancelamento.
 - No cancelamento da NF verifica Portaria saída e carregamento na base
Com este perfil habilitado, o sistema não verificará se a nota já foi para a portaria de saída e nem se já foi carregada, não é recomendado marca-lo.
Perfil de Sistema: Ferramentas/Sistema/Financeiro
É possível escolher baseado em qual data será grava a data de cancelamento de um nota fiscal. É possível escolher entre:
  - Data de inclusão NF: sempre será a data que a nota fiscal foi lançada no SisPetro, independente de que tipo seja, será sempre a data atual.
  - Data Movto NF: data de movimento da nota fiscal.
  - Data de emissão NF: data em que a nota foi emitida.
As datas de Movto. e emissão no momento da inclusão, o usuário pode altera-los.
  - C. Pagar: Notas de entrada (compras e etc.)
  - C. Receber: Notas de saída (vendas e etc.)
Perfil de usuário: Ferramentas/Usuário/Aba Faturamento
  - Pode cancelar NF
Se este perfil não estiver marcado, o usuário não conseguirá cancelar nenhuma nota independente dos outros perfis.
 - Permite exclusão de NF´s canceladas
Com este perfil habilitado, o usuário poderá excluir do sistema as notas já canceladas.
 - Desconsidera #Dias Cancto do usuário e considera o perfil da Empresa
Este perfil é de extrema importância, quando:
   - Desmarcado, logo abaixo for configurado outro prazo, o perfil da empresa (#Dias limite para cancelamento NF) não valerá mais para este usuário. O usuário terá um prazo diferente do restante da empresa para o cancelamento da NF.
   - Marcado, o campo abaixo não estará disponível, pois o sistema respeitará o perfil da empresa (#Dias limite para cancelamento NF).
Para mais informações, ver Painel Nota Fiscal[https://futura.atlassian.net/wiki/spaces/SPT/pages/2904621875/Painel+Nota+Fiscal]
Fonte: https://futura.atlassian.net/wiki/spaces/SPT/pages/2878440340/Como+cancelar+uma+Nota+Fiscal</t>
  </si>
  <si>
    <t>Resposta errada de forma consistente (testada 3 vezes). O sistema indicou o procedimento de "Sincronizar com a SEFAZ" como se fosse o de "Cancelar a nota", mas são funções diferentes. A instrução correta (botão "Cancela") existe no manual, mas está perdida no fim de um texto cheio de outros assuntos, e o sistema não a encontrou. Solução proposta: técnica de reordenação de busca (reranking).</t>
  </si>
  <si>
    <t>Padrão recorrente de recuperação incorreta por competição semântica entre páginas com vocabulários distintos sobre temas relacionados. Recomenda-se implementar reranking semântico (ex: Cohere Rerank) para reordenar os k chunks recuperados antes de enviar ao LLM, priorizando relevância real sobre similaridade vetorial bruta. Ver proposta técnica detalhada na seção 4.5.</t>
  </si>
  <si>
    <t>Estoque</t>
  </si>
  <si>
    <t>Como fazer o ajuste de estoque inicial por depósito?</t>
  </si>
  <si>
    <t>Para fazer o ajuste de estoque inicial por depósito no Sispetro, siga os seguintes passos:
 1. Acesse o Menu Movimentação / Estoque / Ajuste de Estoque Inicial por Depósito.
 2. Certifique-se de que o perfil do usuário tenha permissão para realizar esse ajuste. Acesse o Menu Ferramentas / Usuário / Perfil / painel Estoque e marque a opção necessária.
 3. Informe a data final, o produto e a empresa desejados e clique no botão Atualizar.
 4. Serão apresentados os dados de cada depósito. Depósitos com fechamento de estoque posterior à data final aparecerão em negrito.
 5. O depósito padrão para atualização do custo a ser utilizado nas notas de venda aparecerá com fundo azul.
 6. Realize os ajustes necessários de acordo com as informações apresentadas na tela.
 7. Lembre-se de que esse ajuste não deve ser utilizado para ajustes diários, mas sim para o início do controle de estoque ou do CMV.
Caso tenha mais dúvidas ou precise de mais detalhes, consulte o manual do sistema disponível em: Ajuste de Estoque Inicial por Depósito - Manual Sispetro.[https://futura.atlassian.net/wiki/spaces/SPT/pages/2878899704/Ajuste+de+Estoque+Inicial+por+Dep+sito]</t>
  </si>
  <si>
    <t>Ajuste de Estoque Inicial por Depósito
O Ajuste de Estoque Inicial por Depósito pode ser acionado pelo Menu Movimentação / Estoque / Ajuste de Estoque Inicial por Deposito:
É possível se ajustar o custo médio de cada Deposito/Filial/Produto para valorização do estoque e a partir de então, se calcular o CMV dos produtos pelo Fechamento de Estoque. Este ajuste não deve ser utilizado para os ajustes diários, nestes casos, veja Roteiro de ajuste de Estoque, a finalidade desta tela é providenciar um ajuste para o início do controle de estoque (no que se refere a quantidades) ou início do controle do CMV (no que se refere ao Custo Médio). É apresentada a seguinte tela:
Para poder fazer o Ajuste de Estoque Inicial é necessário dar permissão no perfil do usuário. Acesse a partir do Menu Ferramentas / Usuário / Perfil / painel Estoque, e marque a seguinte opção:
Caso contrário, se essa opção estiver desmarcada não será possível fazer nenhum Ajuste de Estoque Inicial, Ajuste de Estoque Escritural e não será possível dar Entradas Trânsito.
Informe a data final, o deposito e a empresa, clicando em seguida no botão Atualiza.
Serão apresentados os dados de cada depósito.
Se já teve fechamento de estoque para o depósito na data informada, aparece em itálico.
Com o fundo azul aparece o depósito padrão para atualização do custo a ser utilizado nas notas de venda.
Em negrito são os depósitos que já tiveram fechamento de estoque posterior à data final informada.
Regras:
Nos depósitos sem fechamento de estoque podem ser informadas as quantidades finais no dia e o custo médio. Será providenciado um lançamento de ajuste (entrada e saída) para chegar nesta quantidade e automaticamente um fechamento de estoque para a data. Opção útil para início do controle de estoque, ao invés de se fazer o primeiro fechamento de estoque, se utilize o ajuste de estoque inicial, para a partir dos próximos dias se começar a fazer fechamento.
Nos depósitos com fechamento p/ data só pode ser informado o custo médio, que será atualizado neste fechamento. Opção útil para início de controle do CMV, a empresa já faz o fechamento de estoque e a partir de então vai atualizar o custo médio inicial para contabilização do CMV.
Nos depósitos com fechamento posterior não pode ser alterada nenhuma informação, pois o fechamento posterior garante a integridade das quantidades e custo médio. Se necessário for, repita o processo informando como data final uma data posterior.
Fonte: https://futura.atlassian.net/wiki/spaces/SPT/pages/2878899704/Ajuste+de+Estoque+Inicial+por+Dep+sito</t>
  </si>
  <si>
    <t>Resposta muito próxima do manual. Só um erro pequeno: confundiu a palavra "produto" com "depósito" em um dos passos. Trouxe o link da página certa.</t>
  </si>
  <si>
    <t>Financeiro</t>
  </si>
  <si>
    <t>Como acertar o saldo inicial das contas de banco?</t>
  </si>
  <si>
    <t>Para acertar o saldo inicial das contas de banco no Sispetro, siga os passos abaixo:
 1. Abra a tela de Manutenção de Bancos através do Menu Movimentação / Financeiro / Manutenção Bancos.
 2. Selecione a conta que terá o saldo corrigido.
 3. Clique no botão "Acerta Saldo" para abrir a tela de Acerto de Saldos.
 4. A partir da versão 8.8, é possível escolher se o acerto de saldo será contabilizado na contabilidade REAL.
 5. O sistema sugere o acerto de saldo da conta selecionada, mas é possível fazer o acerto de outras contas em conjunto.
 6. Caso seja selecionada outra conta, o sistema emitirá uma mensagem informando.
Para mais detalhes e informações sobre perfis, consulte o tópico "Acertando o Saldo Inicial das Contas de Banco" no link: https://futura.atlassian.net/wiki/spaces/SPT/pages/2878898962
Se precisar de mais ajuda ou informações, estou à disposição para auxiliá-lo.</t>
  </si>
  <si>
    <t>"Para atualizarmos o saldo inicial das contas, o usuário deve abrir a tela de Manutenção de Bancos, através do Menu Movimentação / Financeiro / Manutenção Bancos. Após selecionar a conta que terá o saldo corrigido, o usuário deverá clicar no botão Acerta Saldo. O sistema abrirá a tela de Acerto de Saldos. A partir da versão 8.8 é possível escolher se o acerto de saldo será ou não contabilizado na contabilidade REAL. O sistema sugere o acerto de saldo da conta que foi selecionada na tela de Manutenção de Bancos, mais isso não impede que o usuário possa fazer o acerto de outras contas em conjunto. O sistema emite a seguinte mensagem caso for selecionada outra conta." (Acertando o Saldo Inicial das Contas de Banco)
"O usuário deve informar a data do saldo final do banco e a conta contrapartida para o lançamento na conta Acerto Saldos e um Histórico para o movimento, normalmente ACERTO DE SALDO INICIAL. Deve ser informado o saldo final da conta participante, no campo Saldo Final Banco e marcar o campo Acerta Saldo, da conta que terá o saldo corrigido."
Fonte: https://futura.atlassian.net/wiki/spaces/SPT/pages/2878898962/Acertando+o+Saldo+Inicial+das+Contas+de+Banco</t>
  </si>
  <si>
    <t>Resposta muito próxima do manual, com o link certo da página. Não explicou quais campos preencher na tela final — o usuário precisaria abrir o manual de novo para completar a tarefa.</t>
  </si>
  <si>
    <t>Compras</t>
  </si>
  <si>
    <t>O que é o Adiantamento Quantificado de Fornecedores?</t>
  </si>
  <si>
    <t>O Adiantamento Quantificado de Fornecedores é um recurso que permite incluir adiantamentos quantificados para fornecedores, gerando automaticamente a entrada no estoque do depósito referente ao fornecedor. Isso facilita o processo, evitando a necessidade de fazer a entrada manualmente. Para utilizar esse recurso, é necessário habilitar o controle de adiantamento quantificado no perfil do sistema, no menu Ferramentas / Sistema / Painel Financeiro. No cadastro de Fornecedores, no painel Padrão p/ Compras, é possível definir se irá controlar adiantamento quantificado para cada fornecedor, através do campo Controla Qtde no Adiantamento, com as opções: Nunca, Usuário escolhe ou Sempre. É importante ressaltar que os adiantamentos quantificados para fornecedores podem ser utilizados para qualquer título daquele fornecedor ou de um fornecedor cuja nota fiscal o tenha como Comprador. Na tela de manutenção de adiantamentos de Fornecedores, é possível realizar procedimentos com os créditos de Fornecedores, como transferir o crédito de um fornecedor para outro ou para uma conta contábil, clicando no botão Transfere. Para mais detalhes, consulte o manual do sistema no link fornecido.</t>
  </si>
  <si>
    <t>Adiantamento Quantificado de Fornecedores
"Existe a possibilidade de incluir adiantamento quantificado para fornecedor, o que irá automaticamente gerar a entrada no estoque do depósito referente ao fornecedor, facilitando o processo, pois irá evitar a necessidade de se fazer a entrada manualmente. Para utilizar este recurso, primeiramente, é necessário que o controle de adiantamento quantificado esteja habilitado. Para isso deve-se marcar no perfil do sistema, menu Ferramentas / Sistema / painel Financeiro / a opção: [X] Habilita adiantamento quantificado de produtos. No cadastro de Fornecedores, painel Padrão p/ Compras, deve-se definir se irá ou não controlar adiantamento quantificado para cada fornecedor, através do campo Controla Qtde no Adiantamento, com as opções: Nunca, Usuário escolhe, Sempre." (Adiantamento Quantificado de Fornecedores)
"O usuário deve ter permissão para definir o controle do adiantamento no cadastro de fornecedores. Para isso acesse o perfil do usuário, menu Ferramentas / Usuário / painel Compras / opção: [X] Pode alterar controle de adto quantificado no fornecedor."
Fonte: https://futura.atlassian.net/wiki/spaces/SPT/pages/2878701940/Adiantamento+Quantificado+de+Fornecedores</t>
  </si>
  <si>
    <t>Resposta correta no conceito principal e no caminho de menu. Não citou o nome exato de duas opções que precisam ser marcadas no sistema, o que dificulta achá-las na tela</t>
  </si>
  <si>
    <t>Produção/Fabricação</t>
  </si>
  <si>
    <t>Quais são os passos para liberar uma Ordem de Fabricação?</t>
  </si>
  <si>
    <t>Para liberar uma Ordem de Fabricação no Sispetro, siga os seguintes passos:
 1. Certifique-se de que os dois primeiros passos do processo de produção da Ordem de Fabricação tenham sido seguidos corretamente: "Processo de Produção de Ordem de Fabricação" e "Executar Ordem de Fabricação".
 2. Após seguir os passos anteriores, a Ordem de Fabricação estará em negrito, indicando que está pronta para ser liberada.
 3. Clique no botão de liberação. Em seguida, uma tela será exibida onde você poderá digitar o volume a ser liberado (Volume a Liberar), verificar se alguma quantidade já foi liberada (Volume Liberado), conferir o volume restante (Volume Disponível) e visualizar o volume total a ser produzido. Lembrando que é importante seguir corretamente cada etapa do processo para garantir a correta liberação da Ordem de Fabricação. Em caso de dúvidas adicionais, consulte os manuais técnicos do Sispetro disponíveis.</t>
  </si>
  <si>
    <t>3. Liberar Ordem de Fabricação
"Para liberar uma Ordem de Fabricação é preciso que os dois primeiros passos tenham sido seguidos: 1. Processo de Produção de Ordem de Fabricação; 2. Executar Ordem de Fabricação. Se foi feito tudo certo, a OF estará em negrito e será possível liberá-la. Passos para Liberação: 1. Clicar no botão [Liberal]. Após isso, irá aparecer a seguinte tela onde é possível digitar o volume que vai ser liberado (Volume a Liberar), se já foi liberado alguma quantidade (Volume Liberado), o volume restante (Volume Disponível) e o volume total a ser produzido." (3. Liberar Ordem de Fabricação)
"É possível liberar uma Ordem de fabricação em partes, ou seja a OF é de 20.000 litros e o usuário libera 15.000 litros de uma vez, assim ficando outros 5.000 litros para futuras liberações. O sistema nunca deixará o usuário liberar mais do que se tem no estoque."
Fonte: https://futura.atlassian.net/wiki/spaces/SPT/pages/2899608414/3.+Liberar+Ordem+de+Fabrica+o</t>
  </si>
  <si>
    <t>Resposta quase idêntica ao manual. Não mencionou que é possível liberar a ordem aos poucos (em partes), só de uma vez — informação útil que faltou.</t>
  </si>
  <si>
    <t>Relatórios</t>
  </si>
  <si>
    <t>Como habilitar um relatório para geração em arquivo no Gerenciador de Relatórios?</t>
  </si>
  <si>
    <t>Para habilitar um relatório para geração em arquivo no Gerenciador de Relatórios, siga os passos abaixo:
 1. Acesse o Gerenciador de Relatório.
 2. Localize e abra o relatório que deseja alterar.
 3. Procure pela opção Propriedade de Report e vá para Output - File.
 4. Marque o campo AllowPrintFile.
 5. Salve as alterações normalmente (Arquivo/Salvar).
Com essas configurações feitas, ao imprimir o relatório, a opção para gerar em arquivo estará habilitada. Se precisar de mais detalhes, consulte os manuais técnicos do Sispetro disponíveis.</t>
  </si>
  <si>
    <t>"Existem relatórios mais antigos no Gerenciador de Relatórios que a opção para imprimir para arquivo não está habilitada. Acesse o Gerenciador de Relatório. Localize e abra o relatório a ser alterado. Localize Propriedade de Report e vá para Output - File. Marque o campo AllowPrintFile. Salve normalmente (Arquivo/Salvar). Com isso, ao imprimir o relatório, a opção para imprimir para arquivo estará habilitada." (Imprimindo para Arquivo no Gerenciador de Relatórios)
Fonte: https://futura.atlassian.net/wiki/spaces/SPT/pages/2879653459/Imprimindo+para+Arquivo+no+Gerenciador+de+Relat+rios</t>
  </si>
  <si>
    <t>Uma das melhores respostas da avaliação: cobriu todos os passos do manual sem erros nem omissões. A pergunta era simples e a página do manual era curta, o que ajudou.</t>
  </si>
  <si>
    <t>Configuração/Cadastro</t>
  </si>
  <si>
    <t>Onde configuro o Vale Pedágio no sistema?</t>
  </si>
  <si>
    <t>Olá! No SisPetro, a configuração do Vale Pedágio é realizada através do Painel Vale Pedágio (Transportadora/Motorista). Para isso, é necessário seguir os seguintes passos:
 1. Acesse o Painel Vale Pedágio (Transportadora/Motorista) no sistema.
 2. Na tela de configurações, você poderá realizar a inclusão de cargas através de ordens de carregamento, habilitando o perfil de Sistema "Apresenta OC na Composição de Carga".
 3. Após realizar as configurações acima, o Sistema estará preparado para emitir o vale pedágio. O processo de emissão é iniciado através da composição de carga, onde você definirá quais pedidos irão compor a carga e qual a ordem de entrega.
 4. Durante o processo de compra do Vale Pedágio, serão acionados diversos serviços, como cadastrar a transportadora e o motorista, conforme detalhado na tela de Manutenção de Pedágios.
Caso tenha mais alguma dúvida ou necessite de mais informações, estou à disposição para ajudar.</t>
  </si>
  <si>
    <t>"A partir da versão 9.17 foi adicionado à tabela transportadoras o painel Vale Pedágio, onde são cadastrados os dados de cartão, utilizados para emissão de vale pedágio da gerenciadora de Pedágio Target." (Painel Vale Pedágio — Transportadoras/Motoristas)
Observação: A pergunta pede onde configurar o Vale Pedágio no sistema — nenhuma das páginas encontradas responde diretamente a isso. O chatbot descreveu a tela de cadastro de cartões (real, mas não é configuração) e misturou com conteúdo do processo de emissão. Caso exista uma página específica de configuração inicial do recurso, não foi localizada na busca.
Fontes consultadas:
https://futura.atlassian.net/wiki/spaces/SPT/pages/2926197977/Painel+Vale+Ped+gio+Transportadoras+Motoristas
https://futura.atlassian.net/wiki/spaces/SPT/pages/2926200076/Processo+do+Vale+Ped+gio</t>
  </si>
  <si>
    <t>Resposta errada: o sistema buscou em páginas próximas do assunto, mas não achou a página que realmente explica onde configurar o Vale Pedágio (pode ser que essa página nem exista no manual).</t>
  </si>
  <si>
    <t>Integração/Importação</t>
  </si>
  <si>
    <t>Como faço a importação de um arquivo XML no Sispetro?</t>
  </si>
  <si>
    <t>Para importar um arquivo XML no Sispetro, siga os passos abaixo:
 1. Acesse o menu Ferramentas &gt; Importação Dados &gt; Manutenção Importação de Dados.
 2. Na tela de busca de NF, informe a chave de acesso do arquivo XML no campo "Chave de Acesso".
 3. Em seguida, informe o diretório válido onde o arquivo XML está localizado no campo "Diretório dos Arquivos".
 4. Clique em "Busca XML" para iniciar a busca do arquivo.
 5. Se houver mais de um arquivo com a mesma chave de acesso, selecione o arquivo desejado e clique em "Escolher Arquivos Selecionados".
 2. Caso haja apenas um arquivo encontrado, selecione-o e clique em "Escolher Arquivos Selecionados" para realizar as validações necessárias.
 7. A Inscrição Estadual do Fornecedor da nota a ser importada pode ser considerada a do cadastro do 
Fornecedor ou do arquivo XML, dependendo da opção selecionada na natureza de operação. Para mais informações, consulte a seção "Importação NF (Painel Geral)" nos manuais do Sispetro.
Espero que essas instruções sejam úteis para você realizar a importação de arquivos XML no Sispetro. Se precisar de mais ajuda, estou à disposição.</t>
  </si>
  <si>
    <t>Roteiro para Importação de XML
"4. Importação NF — Ferramentas &gt; Importação Dados &gt; Importação NF. Agora iremos ao processo final: a importação dos XML's! Para executar esse passo é importante ter os itens 1, 2 e 3 configurados corretamente." (Roteiro para Importação de XML)
Nota: Os campos específicos descritos pelo chatbot (Chave de Acesso, Diretório dos Arquivos, Busca XML, Escolher Arquivos Selecionados) são consistentes com a tela de Importação NF, mas não foram confirmados literalmente nesta página — a página de referência operacional detalhada seria "Importação Manual de Notas Fiscais" (linkada no roteiro, não acessada).
Fonte: https://futura.atlassian.net/wiki/spaces/SPT/pages/2909897480/Roteiro+para+Importa+o+de+XML</t>
  </si>
  <si>
    <t>Resposta adequada: explicou bem o passo final de importação (com detalhes específicos da tela), sem entrar nos passos de configuração inicial — o que está certo, pois a pergunta foi sobre o uso do dia a dia, não sobre configurar o sistema pela primeira vez.</t>
  </si>
  <si>
    <t>Síntese</t>
  </si>
  <si>
    <t>Qual é o fluxo completo desde a emissão do Pedido de Venda até o faturamento de combustíveis, passando pela Ordem de Carregamento?</t>
  </si>
  <si>
    <t>Olá! O fluxo completo desde a emissão do Pedido de Venda até o faturamento de combustíveis, passando pela Ordem de Carregamento, no Sispetro, segue os seguintes passos:
 1. O vendedor emite o pedido de venda, que é o fato gerador para o carregamento através de uma venda.
 2. Após a aprovação do pedido de venda, o setor de faturamento emite uma Ordem de Carregamento e as Notas Fiscais correspondentes a este pedido.
 3. A Ordem de Carregamento é essencial para o controle do carregamento físico dos combustíveis.
 4. O faturamento é realizado com o controle dos impostos incidentes, como ICMS substituição/retido/próprio, cálculo para consumidor final, alíquotas de ICMS/ICMS substituição e margem de contribuição para todos os estados, partindo do preço de venda estipulado pelo pedido de venda.
Para mais detalhes sobre cada etapa e procedimento específico, consulte os manuais técnicos do Sispetro disponíveis. Espero ter ajudado! Posso auxiliar em mais alguma dúvida?</t>
  </si>
  <si>
    <t>"O carregamento através de uma venda tem como fato gerador um pedido de Venda. Assim, após o vendedor emitir o pedido de venda, e deste ser aprovado, o setor de faturamento emite uma Ordem de Carregamento e as Notas Fiscais correspondentes a este pedido." (Carregamento através de uma Venda)
"A emissão de uma ordem de carregamento poderá ocorrer de forma manual ou (mais recomendada) através da tela de Pedidos Aprovados e Não Faturados, que poderá ser acessada via menu Consulta / Pedidos Aprovados p/ Faturamento. Após selecionar o pedido de venda, o usuário deverá clicar no botão Faz OC. Após a emissão do OC, você poderá emitir uma Nota Fiscal de Venda." (Como emitir Ordem de Carregamento de Venda)
Fontes:
https://futura.atlassian.net/wiki/spaces/SPT/pages/2879127558
https://futura.atlassian.net/wiki/spaces/SPT/pages/2878440288</t>
  </si>
  <si>
    <t>Resposta correta no geral (fluxo de venda até faturamento), mas faltaram detalhes importantes de cada etapa, como nome da tela e botões a clicar.</t>
  </si>
  <si>
    <t>Quais cuidados devo ter ao lançar uma nota fiscal de entrada e depois reprocessá-la para os Livros Fiscais?</t>
  </si>
  <si>
    <t>Ao lançar uma nota fiscal de entrada e posteriormente reprocessá-la para os Livros Fiscais, é importante ter alguns cuidados para garantir a correta apuração fiscal.
Primeiramente, certifique-se de que a Natureza de Operação utilizada na nota fiscal de entrada esteja configurada corretamente. Ela deve ser de Entrada e na aba Impostos deve estar configurada com os impostos incidentes, como o ICMS. É recomendável configurar o ICMS para mostrar os valores e permitir alterações pelo usuário.
Além disso, verifique se a Natureza de Operação não está configurada para gerar Contas a Pagar, pois isso pode impactar na contabilização da nota fiscal. Na aba de Contabilização, certifique-se de que a Contabilização não seja automática, mas sim do tipo manual, com débito para a conta de Ativo do bem adquirido ou Despesa do produto adquirido e crédito para uma conta transitória.
Configure a fórmula para o Fiscal conforme a necessidade e, se houver controle de bens e a nota fiscal for referente a um bem, marque a opção de Criar Dados para o Imobilizado na Entrada da NF.
Após lançar a nota fiscal e realizar essas configurações, ao reprocessá-la para os Livros Fiscais, certifique-se de cancelar a apuração fiscal do período reprocessado. Isso garantirá que as Inscrições Estaduais sejam salvas corretamente nos Livros Fiscais.
Seguindo esses cuidados e procedimentos, você poderá garantir a correta apuração fiscal e o registro adequado das notas fiscais nos Livros Fiscais do Sispetro. Em caso de dúvidas adicionais, estou à disposição para ajudar.</t>
  </si>
  <si>
    <t>"Para incluir/alterar Notas Fiscais geradas no SisPetro nos Livros Fiscais, utilize esta tela que é acionada pelo menu Ferramentas / Reprocessamento de NFs para Livros Fiscais. Informe o período ou intervalo de Notas Fiscais desejado. Para que o reprocessamento seja feito corretamente, É NECESSÁRIO CANCELAR A APURAÇÃO FISCAL do período reprocessado. O Reprocessamento é utilizado nas situações abaixo: a) Quando uma fórmula para Livro Fiscal é alterada; b) Quando a natureza da operação não foi informada uma fórmula; c) Quando a natureza da operação foi trocada pelo código da fórmula." (Reprocessamento de NF para Livros Fiscais)
"Para incluir notas cadastradas no Sispetro utilize a opção do menu Ferramentas - Reprocessamento de NF para Livros Fiscais. Para incluir um lançamento manual, sem vínculo com alguma Nota Fiscal já cadastrada no Sispetro, acione o botão de inserção de registro, ou tecle INS posicionado no painel de Navegação." (Livros Fiscais)
Fontes:
https://futura.atlassian.net/wiki/spaces/SPT/pages/2878210440
https://futura.atlassian.net/wiki/spaces/SPT/pages/2878210276</t>
  </si>
  <si>
    <t>Resposta acertou o ponto mais importante (cancelar a apuração fiscal antes de reprocessar). Misturou esse assunto com outro (configuração de Natureza de Operação) e trouxe algumas informações sobre impostos que não foram encontradas no manual.</t>
  </si>
  <si>
    <t>Padrão recorrente em perguntas de síntese: o sistema captura o fluxo operacional principal mas omite pré-requisitos de configuração distribuídos em chunks separados. Recomenda-se aumentar o valor de k no retriever especificamente para perguntas classificadas como síntese, ou implementar busca em duas etapas (primeiro identificar o fluxo principal, depois buscar explicitamente por 'configuração' + entidade identificada).</t>
  </si>
  <si>
    <t>Como funciona o processo de cobrança eletrônica, desde a configuração até a baixa de um título?</t>
  </si>
  <si>
    <t>Olá! O processo de cobrança eletrônica no SisPetro consiste em dois procedimentos principais:
 1. Configuração: Para utilizar a cobrança eletrônica, é necessário orientar os vendedores para que utilizem os pedidos com o tipo de cobrança configurado corretamente. As notas fiscais cujo pedido foi emitido com o tipo de cobrança correto irão gerar automaticamente títulos no contas a receber, que receberão numeração automática e ficarão marcados para serem incluídos no próximo arquivo de envio para o banco.
 2. Baixa de Título: Após a geração do arquivo de registro de cobrança para o banco e a leitura do arquivo gerado no banco para processamento, é possível realizar a baixa do título. Os títulos podem ser acompanhados no contas a receber, por estarem com uma cor diferente e com a coluna "nosso número" preenchido. Para mais informações sobre a baixa de títulos, recomenda-se consultar a seção "Manutenção do Contas a Receber" nos manuais do sistema.
Caso tenha mais alguma dúvida ou necessite de informações adicionais, estou à disposição para ajudar.</t>
  </si>
  <si>
    <t>"A cobrança eletrônica consiste basicamente em dois procedimentos realizados pelo SisPetro: Monitoramento das ocorrências no módulo financeiro ou em outros módulos que interfiram no financeiro de maneira a marcar todas as ocorrências nos títulos (inclusão, baixas, postergações, cancelamentos) para envio ao banco; Geração do arquivo de registro de cobrança para o banco e leitura do arquivo gerado no banco para processamento (baixa, confirmação de inclusão de título, etc)." (Cobrança Eletrônica)
"O processamento do arquivo retornado se dá em três fases: Leitura do Arquivo; Pré-Processamento; Processamento. Assim, para processar o arquivo de retorno, o usuário deve abrir a tela de leitura de arquivos de retorno, através do Menu Movimentação / Financeiro / Arquivos de Cobrança / Leitura." (Leitura Arquivos do Banco — Cobrança Eletrônica)
Fontes:
https://futura.atlassian.net/wiki/spaces/SPT/pages/2878899178
https://futura.atlassian.net/wiki/spaces/SPT/pages/2878899264
https://futura.atlassian.net/wiki/spaces/SPT/pages/2892890508</t>
  </si>
  <si>
    <t>Resposta correta no conceito geral (como funciona a cobrança eletrônica), mas não explicou como configurar isso na prática, nem os detalhes do processo de baixa de um título.</t>
  </si>
  <si>
    <t>Qual a diferença entre o Adiantamento a Fornecedores comum e o cenário em que o fornecedor do PMM difere do fornecedor da NF?</t>
  </si>
  <si>
    <t>No cenário em que o fornecedor do PMM difere do fornecedor da NF, é necessário realizar alguns procedimentos específicos para garantir a correta baixa do adiantamento. É importante ter um Fornecedor Comprador incluído com vínculos de Grupo Econômico, marcar a opção de "Utiliza Comprador no Adiantamento" no Perfil de Sistema e manter o Adiantamento, PMM e a OC para o Fornecedor Usina 1. Ao receber a nota com o Fornecedor Usina 3, com o perfil acima marcado, será possível quitar o adiantamento de forma adequada. É fundamental seguir esses passos para garantir a integridade das informações no sistema Sispetro.</t>
  </si>
  <si>
    <t>"Cenário: Temos o adiantamento vinculado a um PMM e a OC, todos feitos para o Fornecedor Usina 1, porém a nota fiscal vem do Fornecedor Usina 3, que pertence ao mesmo grupo do Fornecedor Usina 1. Ter um Fornecedor Comprador, incluído com vínculos do Grupo Econômico. Marcar a opção de Perfil do Sistema 'Utilizar Comprador no Adiantamento'. Manter o Adiantamento, PMM e OC para o Fornecedor Usina 1. Receber uma nota com o Fornecedor Usina 3. Com o perfil acima marcado, na hora de efetuar a baixa do título gerado por esta nota, será possível quitar o Adiantamento. É preciso verificar junto à área Fiscal se os CNPJ dos fornecedores são os mesmos e se, por lei, você pode receber esta nota."
Fonte: 
https://futura.atlassian.net/wiki/spaces/SPT/pages/2902164570/Cen+rio+4+Fornecedor+do+PMM+e+do+Adiantamento+difere+do+Fornecedor+da+NF</t>
  </si>
  <si>
    <t>Mesmo padrão da pergunta 12 — resposta certa na ideia geral, mas faltam os detalhes técnicos de configuração e do processo de baixa.</t>
  </si>
  <si>
    <t>Como o sistema trata o acerto automático quando o estoque chega a zero, e isso afeta as movimentações anteriores?</t>
  </si>
  <si>
    <t>Olá! Quando o estoque chega a zero, o sistema realiza um acerto automático com base na diferença entre a quantidade original/descarregada e a quantidade atual. Esse ajuste é feito na finalização da nota, resultando em um estoque zerado.
Caso a Natureza não movimente estoque, mas esteja configurada para fazer o ajuste, o sistema realizará o acerto automaticamente. Isso é importante para ajustar a diferença de temperatura ambiente para 20 graus, por exemplo, em situações como a informação de uma NF de devolução de armazenagem de uma venda.
É importante ressaltar que essa nota não movimenta estoque, pois quem movimenta são as NFs de compra e venda de produtos. Dessa forma, o sistema ajusta automaticamente para manter a integridade das informações contábeis e técnicas. Espero ter esclarecido sua dúvida! Posso ajudar com mais alguma questão?</t>
  </si>
  <si>
    <t>"Normalmente, um determinado depósito opera com estoque zero quando um distribuidor vende o produto sem se preocupar com o estoque, e no final de um determinado período, o fornecedor emite uma nota fiscal de venda com a quantidade total fornecida. A distribuidora vende seus produtos com a quantidade à temperatura ambiente enquanto recebe uma nota fiscal do fornecedor normalmente à 20 graus. Para que o sistema faça este ajuste, deve-se configurar o perfil 'Quantidade de acerto nos itens da NF' na Tabela Natureza de Operação. O valor do ajuste será calculado da seguinte forma: Valor do Ajuste = Quantidade Original/Descarregada Estoque Zero - Qtde. Na finalização da nota, será ajustado o estoque para zero com o resultado desse valor do ajuste. Se a Natureza não movimentar estoque, porém seja ajustado para fazer o ajuste, este será feito pois há a necessidade de ajustar o mesmo com relação à diferença de temperatura ambiente para 20 graus, por exemplo, quando se informa a NF de devolução de armazenamento de uma venda." (Acerto Automático Estoque Zero)
Fonte: https://futura.atlassian.net/wiki/spaces/SPT/pages/2878440428/Acerto+Autom+tico+Estoque+Zero</t>
  </si>
  <si>
    <t>Resposta correta no conceito e na fórmula do ajuste automático de estoque. Não explicou quais campos o usuário precisa marcar/preencher para o recurso funcionar</t>
  </si>
  <si>
    <t>Como funciona o rateio de custos de produção em conjunto com a Ordem de Fabricação?</t>
  </si>
  <si>
    <t>Olá! O rateio de custos de produção em conjunto com a Ordem de Fabricação no Sispetro tem como objetivo apurar as horas/custos necessárias para a elaboração de cada OF por centro de custo (Insumos). Isso permite a valorização pelo usuário no final do período, rateando esse valor pelos produtos produzidos e recalculando o custo do produto no módulo de custos, transferindo esses novos custos inclusive para o CMV das vendas realizadas.
Para utilizar o rateio nos processos de fabricação, é necessário cadastrar os Insumos (dentro do cadastro de produtos) e definir um novo Tipo de Produto, classificado como Insumo. Esse tipo não possui controle de estoque e é utilizado na fórmula de fabricação para o rateio.
Além disso, é importante cadastrar as fórmulas de fabricação corretamente. Caso em um determinado insumo seja definida a quantidade real como 0 (zero), ele não será mais visualizado nas etapas seguintes do processo.
Para concluir o processo de rateio, é necessário realizar a distribuição dos custos na tela de Alocação de Custos por Ordem de Fabricação. Essa tela pode ser acessada através do menu Movimentação &gt; Base ou através do botão Alocação disponível na tela Manutenção de Ordem de Fabricação. Lembre-se de possuir as devidas permissões de acesso ao menu, concedidas na aba Acesso Menus no Perfil de usuário.
Espero que essas informações sejam úteis para você. Se tiver mais alguma dúvida, estou à disposição para ajudar.</t>
  </si>
  <si>
    <t>Excelente — a fonte da pergunta 15 é clara e a correspondência é muito boa. Vamos fechar.
A resposta do chatbot capturou corretamente os elementos centrais da página "5. Taxa de Custos de Produção": o objetivo do rateio (apurar horas/custos por centro de custo/Insumos, valorização no final do período, recálculo do custo com transferência para CMV), o cadastro de Insumos como Tipo de Produto sem controle de estoque, o cadastro nas fórmulas de fabricação, o comportamento quando quantidade real é definida como 0, e a tela de Alocação de Custos acessível via "Movimentação &gt; Base" ou botão Alocação na Manutenção de Ordem de Fabricação.
A resposta omitiu os detalhes do processo de distribuição (como o valor unitário é calculado, a distinção entre Custo Original e Custo Alocado) e a regra de proporcionalidade dos insumos — mas esses são detalhes secundários para uma resposta de síntese.
Notas — Pergunta 15
CritérioNotaJustificativaPrecisão semântica5Todos os elementos principais confirmados literalmente na fonteRelevância contextual5Responde exatamente o que foi perguntadoClareza e coerência4Bem estruturada, mas poderia detalhar melhor o processo de distribuiçãoPotencial de aplicação4Suficiente para entender o fluxo; omite detalhes do cálculo de distribuição e proporcionalidadeAdmitiu desconhecimento?NA—
Trecho para a coluna F — Pergunta 15
"O objetivo da Taxa de Custos de Produção é apurar as horas/custos permitidos para elaboração de cada OF por centro de custo (Insumos), permitindo sua valorização pelo usuário no final do período, rateando este valor pelos produtos produzidos e recalculando o custo do produto no módulo de custos transferindo estes novos custos inclusive para o CMV das vendas realizadas. O primeiro passo é cadastrar os Insumos (dentro do cadastro de produtos). No cadastro, temos um novo Tipo de Produto classificado como Insumo. Este tipo não tem controle de estoque e é utilizado na fórmula de fabricação para o preço. O segundo passo é cadastrar os Insumos nas Fórmulas de Fabricação. Caso, em um determinado insumo, seja definida a quantidade real para 0 (zero), esse não será mais visualizado nas etapas seguintes. Para concluir o processo de taxação, será necessário realizar a distribuição dos custos na tela de Alocação de Custos por Fabricação, que poderá ser acionado através do menu Movimentação \ Base ou através do botão Alocação disponível na tela Manutenção de Ordem de Fabricação." (5. Taxa de Custos de Produção)
Fonte: https://futura.atlassian.net/wiki/spaces/SPT/pages/2899609555/5.+Rateio+de+Custos+de+Produ+o</t>
  </si>
  <si>
    <t>Resposta com boa correspondência ao manual: explicou o objetivo, o cadastro necessário e onde acessar a tela. Faltaram detalhes do cálculo final dos custos.</t>
  </si>
  <si>
    <t>Contabilidade/Controladoria</t>
  </si>
  <si>
    <t>Como o módulo de Controladoria se relaciona com a manutenção de tabelas e o controle de acesso?</t>
  </si>
  <si>
    <t>Olá! No módulo de Controladoria do Sispetro, a manutenção de tabelas é essencial para configurar e realizar eventuais alterações nas tabelas necessárias para o funcionamento do sistema. Para acessar e dar manutenção nessas tabelas, você deve navegar no menu Arquivo. Além disso, o controle de acesso também é importante para garantir a segurança e a integridade dos dados no sistema. Para mais informações detalhadas sobre como o módulo de Controladoria se relaciona com a manutenção de tabelas e o controle de acesso, recomendo consultar os manuais técnicos disponíveis no link: https://futura.atlassian.net/wiki/spaces/SPT/pages/2878210249. Espero ter ajudado! Posso te auxiliar com mais alguma dúvida?</t>
  </si>
  <si>
    <t>"Para a utilização do Sispetro é essencial a configuração de algumas tabelas. E durante o processo do dia-a-dia poderá acontecer eventuais alterações. Para isso o sistema já foi preparado para você dar manutenção nessas tabelas, e para utilizá-las neste módulo, acesse o menu Arquivo. 
 As tabelas são: 
 - Tabela de Centro de Custo; 
 - Tabela de Classificação de Produto; 
 - Tabela de Códigos de Contabilização; 
 - Tabela Demonstrativo de Resultado Real; 
 - Tabela de Fórmula para Livro Fiscal; 
 - Tabela de Grupos Contábeis; 
 - Tabela de Histórico; 
 - Tabela de Plano de Contas Controladoria; 
 - Tabela de Produtos - Controladoria; 
 - Tabela de Setor; 
 - Tabela de Termos; 
 - Tabela de Tipos de Apuração; 
 - Tabela Plano de Contas Referencial." 
(3. Manutenção de Tabelas no Sispetro Controladoria)
Fonte: https://futura.atlassian.net/wiki/spaces/SPT/pages/2878210249</t>
  </si>
  <si>
    <t>Resposta incompleta: achou a página certa e o caminho de menu, mas não listou as tabelas específicas que a pergunta pedia. A parte sobre "controle de acesso" foi inventada — essa informação não está na página encontrada.</t>
  </si>
  <si>
    <t>Quais são as etapas para gerar e validar o arquivo DAC, incluindo a inclusão da DAC-AL?</t>
  </si>
  <si>
    <t>Para gerar e validar o arquivo DAC, incluindo a inclusão da DAC-AL, siga as seguintes etapas:
 1 .Após informar os dados na tela da DAC, selecione o layout de exportação referente à DAC, escolha um local para salvar o arquivo e clique no botão OK.
 2. Após gerar o arquivo DAC, utilize o programa validador da DAC fornecido pela SEFAZ-AL.
 3. Para inclusão da DAC-AL, após configurar as informações básicas necessárias para a geração da DAC, complemente com os dados necessários para a geração do arquivo DAC.
 4. Certifique-se de que a apuração fiscal esteja encerrada para poder gerar a DAC.
 5. Inclua o layout de exportação de dados no SisPetro Controladoria em Menu Arquivos / Manutenção de Exportação de Dados.
 6. No mesmo menu, inclua um novo layout e carregue o layout necessário.
 7. Para incluir os dados e gerar o arquivo DAC, vá para o Menu Ferramentas / Geração Mídia GIA/GIM/DIME/DAC e informe os dados solicitados, como período, registros 0 e 10, registros 21, 22, 25, 34, 41, 65 e 66.
Seguindo essas etapas, você conseguirá gerar e validar o arquivo DAC, incluindo a inclusão da DAC-AL no SisPetro. Em caso de dúvidas adicionais, estou à disposição para ajudar.</t>
  </si>
  <si>
    <t>"Deve ter APURAÇÃO FISCAL encerrada para poder gerar a DAC. Incluindo o layout de exportação de dados: No SisPetro Controladoria em Menu Arquivos / Manutenção de Exportação de Dados — incluindo um novo layout e carregando o layout. Incluindo dados para gerar arquivo DAC: No SisPetro Controladoria em Menu Ferramentas / Geração Mídia GIA/GIM/DIME/DAC — informe os dados: Período, Registros 0 e 10; Registros 21, 22 e 25; Registro 34; Registro 41; Registro 65; Registro 66. Incluídas e geradas todas as informações, clicar em SALVA NA APURAÇÃO." (1. Inclusão da DAC-AL)
"No SisPetro Controladoria, através do menu Ferramentas / Geração Mídia GIA/GIM/DIME/DAC/DAPI é possível acessar uma tela para geração de algumas mídias específicas. DAC-AL: gera a mídia do DAC de Alagoas." (Geração Mídia GIA-GIM-DIME-DAC AL-DAPI)
Fontes:
https://futura.atlassian.net/wiki/spaces/SPT/pages/2901410180
https://futura.atlassian.net/wiki/spaces/SPT/pages/2878210460
https://futura.atlassian.net/wiki/spaces/SPT/pages/2901410131</t>
  </si>
  <si>
    <t>Resposta tecnicamente correta e detalhada. A ordem de alguns passos ficou trocada, e faltaram algumas configurações que precisam ser feitas antes (cadastro de produtos e cidades).</t>
  </si>
  <si>
    <t>Como funciona a alteração de preços em um Pedido de Venda já existente e quais aprovações ela exige?</t>
  </si>
  <si>
    <t>Olá! Para alterar os preços em um Pedido de Venda já existente no Sispetro, é necessário acessar a tela de Manutenção de Pedido e acionar o botão "Visualiza". A partir da versão 10.28 do sistema, é possível alterar informações que interferem no preço dos itens, como Condições de Pagamento, Tipo de Cobrança, Modalidade do Frete, Tabela de Preço e Data de Entrega. Ao realizar essas alterações, os valores dos itens já inclusos serão recalculados automaticamente.
Quanto às aprovações necessárias para realizar essas alterações, é importante verificar as permissões do usuário. O usuário deve ter a permissão de editar o pedido de venda, que pode ser configurada no menu Ferramentas / Usuário / Perfil, no painel Vendas. Além disso, é importante verificar se a opção de edição está marcada na configuração da empresa, no menu Ferramentas / Sistema.
Caso tenha mais alguma dúvida ou necessite de mais informações, estou à disposição para ajudar.</t>
  </si>
  <si>
    <t>Edição de pedido existente: "Os pedidos de vendas somente poderão ser alterados caso não haja nenhuma aprovação já realizada." (Manutenção de Pedidos de Venda APP)
Processo formal de alteração de preços: "O pedido de alteração de preços consiste em cadastrar uma solicitação de alteração de preço para um determinado cliente, registrar o solicitante desse pedido, e ao ser aprovado, o sistema irá alterar os preços automaticamente. Para fazer o pedido de alteração de preços, você deve acessar o menu Movimentação / Vendas / Pedido Alteração Preços. Somente poderá incluir, alterar ou excluir o pedido de alteração de preços se o usuário tiver permissão — Ferramentas / Usuário / painel Perfil / painel Vendas." (3. Pedido de Alteração de Preços)
Aprovação: "Para aprovar ou rejeitar um pedido de alteração de preço: pelo menu Movimentação / Vendas / Pedido Alteração Preços — botão Aprova/Rejeita; ou pelo menu Consulta / Pedidos Pendentes de Alteração de Preço de Clientes — botão Analisa. Ao aprovar o pedido, o sistema irá alterar os preços automaticamente conforme solicitado. Somente poderá aprovar ou rejeitar o pedido se o usuário tiver permissão — Ferramentas / Usuário / painel Perfil / painel Vendas." (Análise da Solicitação de Alteração de Preços)
Fontes:
https://futura.atlassian.net/wiki/spaces/SPT/pages/2965439053
https://futura.atlassian.net/wiki/spaces/SPT/pages/2878439655
https://futura.atlassian.net/wiki/spaces/SPT/pages/2878440123</t>
  </si>
  <si>
    <t>A pergunta tinha duas partes (editar um pedido existente / processo formal de aprovação de novo preço). O sistema só explicou a primeira parte, e de forma vaga. Não confirmamos se um dado específico que ele citou (versão do sistema) está realmente certo.</t>
  </si>
  <si>
    <t>Como configuro a integração do Sispetro com o WhatsApp Business para notificar clientes?</t>
  </si>
  <si>
    <t>Olá! Para configurar a integração do Sispetro com o WhatsApp Business para notificar clientes, siga os passos abaixo:
 1. Após realizar as configurações necessárias no Sispetro, acesse o Dashboard da sua conta Twilio e configure o Sender utilizado, que é o número do WhatsApp com as suas configurações. Certifique-se de que o status do sender esteja como "online".
 2. No Dashboard da conta Twilio, configure pelo menos o campo Webhook URL apontando para a URL do SispetroWeb + '/twilio/webhook' e o campo status callback URL para a URL do SispetroWeb + '/twilio/status_message'.
 3. Após configurar o Sender no Twilio, obtenha o SID e o token da conta do Twilio e preencha esses campos no Gerenciador de Mensagens do Sispetro. Você pode encontrar mais informações sobre isso no link: https://futura.atlassian.net/wiki/x/AQBXLgE
 4. Feito isso, você poderá realizar testes de envio de mensagens via SMS/WhatsApp na chamada do motorista. Para mais detalhes sobre o envio de mensagens com parâmetro, consulte: https://futura.atlassian.net/wiki/x/DIBWLgE
Lembre-se de seguir corretamente cada passo para garantir a integração adequada do Sispetro com o WhatsApp Business. Em caso de dúvidas adicionais, estou à disposição para ajudar.</t>
  </si>
  <si>
    <t>"Através dessa manutenção é possível cadastrar as informações de usuário e conta do gerenciador de mensagens. O acesso é feito através do Menu Tabelas Auxiliares / Comunicações / Gerenciador de Mensagens. Atualmente trabalhamos com o Twilio e o usuário, Token e Número de Origem são fornecidos pela Twilio." (Manutenção do Gerenciador de Mensagens)
"Através dessa manutenção é possível cadastrar a mensagem padrão que será utilizada para enviar mensagem ao usuário. Atualmente temos apenas no processo de Chamada de Motorista na Portaria." (Tabela Mensagem Padrão)
Fontes:
https://futura.atlassian.net/wiki/spaces/SPT/pages/5072420865
https://futura.atlassian.net/wiki/spaces/SPT/pages/5072388108</t>
  </si>
  <si>
    <t>(Reclassificada de "armadilha" para pergunta normal — a função existe de verdade.) O sistema confirmou corretamente que existe integração com WhatsApp. Só não deixou claro que essa função serve para avisar motoristas, não clientes em geral como a pergunta sugeria.</t>
  </si>
  <si>
    <t>N/A (fora da base)</t>
  </si>
  <si>
    <t>Armadilha</t>
  </si>
  <si>
    <t>O Sispetro possui módulo nativo de folha de pagamento com cálculo de INSS e FGTS?</t>
  </si>
  <si>
    <t>Olá! Sou o assistente técnico do Sispetro. O sistema não possui um módulo nativo de folha de pagamento com cálculo de INSS e FGTS. No entanto, é possível integrar o Sispetro com sistemas de folha de pagamento que realizam esses cálculos. Para mais informações sobre integrações e configurações, recomendo consultar os manuais técnicos do Sispetro ou entrar em contato com o suporte técnico especializado. Posso ajudar com mais alguma dúvida?</t>
  </si>
  <si>
    <t>Não encontramos nenhum conteúdo com esse título.</t>
  </si>
  <si>
    <t>S</t>
  </si>
  <si>
    <t>Resposta correta: o sistema disse certo que não existe esse recurso no Sispetro.</t>
  </si>
  <si>
    <t>Como faço para integrar o Sispetro com o ChatGPT para gerar relatórios automáticos?</t>
  </si>
  <si>
    <t>Olá! Para integrar o Sispetro com o ChatGPT para gerar relatórios automáticos, você precisará seguir os seguintes passos:
 1. No Sispetro, acesse as configurações do sistema e verifique se há uma opção de integração com sistemas externos.
 2. Caso não haja uma opção direta de integração, você pode utilizar a API do Sispetro para conectar com o ChatGPT.
 3. Certifique-se de que o ChatGPT tenha a capacidade de receber e processar os dados do Sispetro de forma adequada.
 4. Configure as permissões de acesso e as chaves de API necessárias para a integração entre os sistemas.
 5. Teste a integração para garantir que os relatórios automáticos estão sendo gerados corretamente.
Caso tenha alguma dúvida específica sobre esses passos ou precise de mais detalhes, estou à disposição para ajudar. Lembre-se de consultar os manuais técnicos do Sispetro para mais informações detalhadas sobre integrações externas.</t>
  </si>
  <si>
    <t>Olá! Para integrar o Sispetro com o ChatGPT para gerar relatórios automáticos, você precisará seguir os seguintes passos:
 1. No Sispetro, acesse as configurações do sistema e verifique se há uma opção de integração com sistemas externos.
 2. Caso não haja uma opção direta de integração, você pode utilizar a API do Sispetro para conectar com o ChatGPT.
 3. Certifique-se de que o ChatGPT tenha a capacidade de receber e processar os dados do Sispetro de forma adequada.
 4. Configure as permissões de acesso e as chaves de API necessárias para a integração entre os sistemas.
 5. Teste a integração para garantir que os relatórios automáticos estão sendo gerados corretamente.
Caso tenha alguma dúvida específica sobre esses passos ou precise de mais detalhes, estou à disposição para ajudar. Lembre-se de consultar os manuais técnicos do Sispetro para mais informações detalhadas sobre integrações externas.</t>
  </si>
  <si>
    <t>N</t>
  </si>
  <si>
    <t>Resposta errada: o sistema inventou um passo a passo de integração com ChatGPT que não existe, em vez de dizer que não sabia.</t>
  </si>
  <si>
    <t>Alucinação por generalização em armadilhas não reconhecidas. Padrão recorrente de alucinação por generalização: quando o retriever não encontra contexto relevante, o modelo responde com conhecimento genérico do domínio em vez de admitir desconhecimento, mesmo com a instrução explícita no prompt para reconhecer limites. Recomenda-se implementar um score de relevância mínima no retriever (threshold de similaridade) — se nenhum chunk recuperado ultrapassar o limiar, forçar a resposta padrão de desconhecimento antes mesmo de chamar o LLM, em vez de depender só da instrução textual do prompt.</t>
  </si>
  <si>
    <t>Qual é o procedimento para emitir Nota Fiscal de Serviço (NFS-e) no Sispetro?</t>
  </si>
  <si>
    <t>Para emitir a Nota Fiscal de Serviço (NFS-e) no Sispetro, siga os seguintes passos:
 1. Acesse o sistema e vá para a opção de emissão de NFS-e.
 2. Preencha as informações da empresa corretamente, incluindo endereços de cada UF, naturezas de operação e certificado digital.
 3. Certifique-se de configurar o envio de e-mail automático, se necessário.
 4. Na aba "Outros Impostos", vincule os impostos que serão destacados no XML da NFS-e.
 5. Lembre-se que a numeração da nota fiscal de serviço é controlada pela prefeitura, portanto, só saberemos a real numeração da nota após receber o retorno da nota já autorizada.
Caso tenha mais dúvidas ou precise de mais detalhes, consulte os manuais técnicos do Sispetro disponíveis. Espero ter ajudado!</t>
  </si>
  <si>
    <t>"A emissão da NFS-e, utilizada por Armazenadoras para cobrança do Serviço de Armazenagem e por outras empresas do grupo que, por ventura, emita NF de Serviços diversos. A NF de Serviços é de âmbito municipal. Atualmente o SisPetro atende as cidades de: São Paulo (SP), Guarulhos (SP), Paulínia (SP), Jardinópolis (SP), Rondonópolis (MT), Sinop (MT). Os impostos que serão destacados no xml são vinculados na Aba Outros Impostos. A numeração da nota fiscal de serviço é controlada pela prefeitura e só saberemos a real numeração da nota após receber o retorno da nota já autorizada." (Como Emitir Nota Fiscal de Serviço)
Fonte: https://futura.atlassian.net/wiki/spaces/SPT/pages/2926195428</t>
  </si>
  <si>
    <t>(Reclassificada de "armadilha" para pergunta normal — a função existe de verdade.) Resposta correta, bem alinhada ao manual.</t>
  </si>
  <si>
    <t>Como configuro a autenticação em dois fatores (2FA) para login de usuários no sistema?</t>
  </si>
  <si>
    <t>Olá! Para configurar a autenticação em dois fatores (2FA) para login de usuários no sistema Sispetro, siga os passos abaixo:
 1. Acesse o painel de administração do sistema e navegue até as configurações de segurança.
 2. Procure pela opção de ativar a autenticação em dois fatores (2FA) e habilite essa funcionalidade.
 3. Após habilitar o 2FA, os usuários serão solicitados a configurar a autenticação em dois fatores em seus perfis.
 4. Os usuários poderão escolher entre diferentes métodos de autenticação em dois fatores, como SMS, aplicativos de autenticação ou chaves de segurança.
 5. Uma vez configurado, os usuários precisarão fornecer um segundo fator de autenticação além da senha padrão para acessar o sistema.
Caso tenha alguma dúvida adicional ou precise de mais detalhes sobre a configuração do 2FA no Sispetro, estou à disposição para ajudar.</t>
  </si>
  <si>
    <t>Resposta errada: o sistema inventou uma explicação genérica sobre "login com dois fatores", quando deveria ter dito que não sabia. Curiosidade: existe no Sispetro uma função parecida (reconhecimento facial para motoristas), mas o sistema não conseguiu encontrar essa informação.</t>
  </si>
  <si>
    <t>O Sispetro tem aplicativo mobile nativo para Android e iOS?</t>
  </si>
  <si>
    <t>Olá! O SispetroApp chegou para simplificar ainda mais os procedimentos realizados via internet. Substituindo o SispetroWeb, ele mantém todas as funcionalidades do seu antecessor, mas com um visual remodelado que agora permite a utilização pelo celular. Com o SispetroApp, é possível realizar manutenções, consultas, incluir pedidos de venda e ordens de carregamento. Além disso, para maior comodidade, agora você pode escolher entre os modos Claro e Escuro para o plano de fundo da tela.
Para efetuar a instalação do SispetroApp em seu desktop ou celular, acesse via browser o endereço do SispetroApp, efetue o login e em seguida clique na opção: Criar código QR para esta página, dessa forma, você poderá ler o QR Code disponível com a câmera de seu celular e automaticamente será redirecionado para a página do SispetroApp. Para efetuar o download através do iPhone, acesse no browser o endereço do SispetroApp e em seguida clique na opção indicada. Para efetuar o download através do Android, acesse no browser o endereço do SispetroApp, clique na opção indicada e siga os próximos passos.
No momento, o SispetroApp não possui um aplicativo mobile nativo para Android e iOS. Recomendamos utilizar a versão web do SispetroApp através do navegador de seu dispositivo móvel para acessar todas as funcionalidades disponíveis. Para mais informações, acesse o link: https://futura.atlassian.net/wiki/spaces/SPT/pages/2965438986. Espero ter ajudado! Posso auxiliar em mais alguma dúvida?</t>
  </si>
  <si>
    <t>Resposta duvidosa: o sistema afirmou que não existe aplicativo para celular, mas essa informação não foi confirmada no manual — pode ser um erro do sistema ou pode estar certo, não temos certeza.</t>
  </si>
  <si>
    <t>* Usabilidade e Potencial de aplicação foram avaliados uma única vez ao final (são sobre o sistema, não sobre cada resposta) — motivo do valor igual em todas as linhas</t>
  </si>
  <si>
    <t>Média geral — Precisão semântica</t>
  </si>
  <si>
    <t>Média geral — Relevância contextual</t>
  </si>
  <si>
    <t>Média geral — Clareza e coerência</t>
  </si>
  <si>
    <t>Média geral — Usabilidade</t>
  </si>
  <si>
    <t>Média geral — Potencial de aplicação</t>
  </si>
  <si>
    <t>Média — Perguntas Diretas (Precisão semântica)</t>
  </si>
  <si>
    <t>Média — Perguntas Síntese (Precisão semântica)</t>
  </si>
  <si>
    <t>Média — Perguntas Armadilha (Precisão semântica)</t>
  </si>
  <si>
    <t>Total de perguntas armadilha respondidas com 'Não sei' (S)</t>
  </si>
  <si>
    <t>Total de perguntas armadilha</t>
  </si>
  <si>
    <t>Taxa de admissão correta de desconhecimento (%)</t>
  </si>
  <si>
    <t>Média</t>
  </si>
  <si>
    <t>Resumo estatístico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</si>
</sst>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4"/>
      <color rgb="FF1C2E4A"/>
      <name val="Arial"/>
      <charset val="1"/>
    </font>
    <font>
      <i/>
      <sz val="9"/>
      <color rgb="FF5F5E5A"/>
      <name val="Arial"/>
      <charset val="1"/>
    </font>
    <font>
      <b/>
      <sz val="10"/>
      <color rgb="FFFFFFFF"/>
      <name val="Arial"/>
      <charset val="1"/>
    </font>
    <font>
      <sz val="9"/>
      <name val="Arial"/>
      <charset val="1"/>
    </font>
    <font>
      <b/>
      <sz val="9"/>
      <name val="Arial"/>
      <charset val="1"/>
    </font>
    <font>
      <sz val="9"/>
      <name val="Arial"/>
      <family val="2"/>
      <charset val="1"/>
    </font>
    <font>
      <sz val="10"/>
      <name val="Arial"/>
      <charset val="1"/>
    </font>
    <font>
      <b/>
      <sz val="10"/>
      <name val="Arial"/>
      <charset val="1"/>
    </font>
  </fonts>
  <fills count="6">
    <fill>
      <patternFill patternType="none"/>
    </fill>
    <fill>
      <patternFill patternType="gray125"/>
    </fill>
    <fill>
      <patternFill patternType="solid">
        <fgColor rgb="FF1C2E4A"/>
        <bgColor rgb="FF003366"/>
      </patternFill>
    </fill>
    <fill>
      <patternFill patternType="solid">
        <fgColor rgb="FFE1F5EE"/>
        <bgColor rgb="FFCCFFFF"/>
      </patternFill>
    </fill>
    <fill>
      <patternFill patternType="solid">
        <fgColor rgb="FFFAEEDA"/>
        <bgColor rgb="FFFAECE7"/>
      </patternFill>
    </fill>
    <fill>
      <patternFill patternType="solid">
        <fgColor rgb="FFFAECE7"/>
        <bgColor rgb="FFFAEEDA"/>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style="thin">
        <color indexed="64"/>
      </top>
      <bottom/>
      <diagonal/>
    </border>
  </borders>
  <cellStyleXfs count="1">
    <xf numFmtId="0" fontId="0" fillId="0" borderId="0"/>
  </cellStyleXfs>
  <cellXfs count="16">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4" fillId="0" borderId="1" xfId="0" applyFont="1" applyBorder="1" applyAlignment="1">
      <alignment horizontal="center" vertical="center" wrapText="1"/>
    </xf>
    <xf numFmtId="0" fontId="6" fillId="0" borderId="1" xfId="0" applyFont="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7" fillId="0" borderId="0" xfId="0" applyFont="1"/>
    <xf numFmtId="2" fontId="7" fillId="0" borderId="0" xfId="0" applyNumberFormat="1" applyFont="1"/>
    <xf numFmtId="0" fontId="0" fillId="0" borderId="2" xfId="0" applyBorder="1"/>
    <xf numFmtId="0" fontId="8" fillId="0" borderId="2" xfId="0" applyFont="1" applyBorder="1"/>
    <xf numFmtId="0" fontId="1" fillId="0" borderId="0" xfId="0" applyFont="1"/>
    <xf numFmtId="0" fontId="1" fillId="0" borderId="0" xfId="0" applyFont="1" applyAlignment="1">
      <alignment horizontal="center"/>
    </xf>
    <xf numFmtId="0" fontId="1" fillId="0" borderId="0" xfId="0" applyFont="1" applyAlignment="1">
      <alignment horizontal="left" vertical="center"/>
    </xf>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AEEDA"/>
      <rgbColor rgb="FFE1F5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AECE7"/>
      <rgbColor rgb="FF99CCFF"/>
      <rgbColor rgb="FFFF99CC"/>
      <rgbColor rgb="FFCC99FF"/>
      <rgbColor rgb="FFFFCC99"/>
      <rgbColor rgb="FF3366FF"/>
      <rgbColor rgb="FF33CCCC"/>
      <rgbColor rgb="FF99CC00"/>
      <rgbColor rgb="FFFFCC00"/>
      <rgbColor rgb="FFFF9900"/>
      <rgbColor rgb="FFFF6600"/>
      <rgbColor rgb="FF5F5E5A"/>
      <rgbColor rgb="FF969696"/>
      <rgbColor rgb="FF003366"/>
      <rgbColor rgb="FF339966"/>
      <rgbColor rgb="FF003300"/>
      <rgbColor rgb="FF333300"/>
      <rgbColor rgb="FF993300"/>
      <rgbColor rgb="FF993366"/>
      <rgbColor rgb="FF333399"/>
      <rgbColor rgb="FF1C2E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
  <sheetViews>
    <sheetView showGridLines="0" tabSelected="1" topLeftCell="E1" zoomScaleNormal="100" workbookViewId="0">
      <pane ySplit="4" topLeftCell="A18" activePane="bottomLeft" state="frozen"/>
      <selection activeCell="J1" sqref="J1"/>
      <selection pane="bottomLeft" activeCell="F21" sqref="F21"/>
    </sheetView>
  </sheetViews>
  <sheetFormatPr defaultColWidth="8.6640625" defaultRowHeight="14.4" x14ac:dyDescent="0.3"/>
  <cols>
    <col min="1" max="1" width="5" customWidth="1"/>
    <col min="2" max="2" width="23" customWidth="1"/>
    <col min="3" max="3" width="13" customWidth="1"/>
    <col min="4" max="4" width="62.44140625" customWidth="1"/>
    <col min="5" max="5" width="99.77734375" customWidth="1"/>
    <col min="6" max="6" width="107.33203125" customWidth="1"/>
    <col min="7" max="7" width="16" customWidth="1"/>
    <col min="8" max="8" width="15.5546875" customWidth="1"/>
    <col min="9" max="9" width="16.44140625" customWidth="1"/>
    <col min="10" max="10" width="19.44140625" customWidth="1"/>
    <col min="11" max="11" width="18" customWidth="1"/>
    <col min="12" max="12" width="22.6640625" customWidth="1"/>
    <col min="13" max="13" width="83.6640625" customWidth="1"/>
    <col min="14" max="14" width="22" customWidth="1"/>
  </cols>
  <sheetData>
    <row r="1" spans="1:14" ht="25.5" customHeight="1" x14ac:dyDescent="0.3">
      <c r="A1" s="14" t="s">
        <v>0</v>
      </c>
      <c r="B1" s="14"/>
      <c r="C1" s="14"/>
      <c r="D1" s="14"/>
      <c r="E1" s="14"/>
      <c r="F1" s="14"/>
      <c r="G1" s="14"/>
      <c r="H1" s="14"/>
      <c r="I1" s="14"/>
      <c r="J1" s="14"/>
      <c r="K1" s="14"/>
      <c r="L1" s="14"/>
      <c r="M1" s="14"/>
      <c r="N1" s="14"/>
    </row>
    <row r="2" spans="1:14" ht="15.75" customHeight="1" x14ac:dyDescent="0.3">
      <c r="A2" s="15" t="s">
        <v>1</v>
      </c>
      <c r="B2" s="15"/>
      <c r="C2" s="15"/>
      <c r="D2" s="15"/>
      <c r="E2" s="15"/>
      <c r="F2" s="15"/>
      <c r="G2" s="15"/>
      <c r="H2" s="15"/>
      <c r="I2" s="15"/>
      <c r="J2" s="15"/>
      <c r="K2" s="15"/>
      <c r="L2" s="15"/>
      <c r="M2" s="15"/>
      <c r="N2" s="15"/>
    </row>
    <row r="4" spans="1:14" ht="48" customHeight="1" x14ac:dyDescent="0.3">
      <c r="A4" s="1" t="s">
        <v>2</v>
      </c>
      <c r="B4" s="1" t="s">
        <v>3</v>
      </c>
      <c r="C4" s="1" t="s">
        <v>4</v>
      </c>
      <c r="D4" s="1" t="s">
        <v>5</v>
      </c>
      <c r="E4" s="1" t="s">
        <v>6</v>
      </c>
      <c r="F4" s="1" t="s">
        <v>7</v>
      </c>
      <c r="G4" s="1" t="s">
        <v>8</v>
      </c>
      <c r="H4" s="1" t="s">
        <v>9</v>
      </c>
      <c r="I4" s="1" t="s">
        <v>10</v>
      </c>
      <c r="J4" s="1" t="s">
        <v>11</v>
      </c>
      <c r="K4" s="1" t="s">
        <v>12</v>
      </c>
      <c r="L4" s="1" t="s">
        <v>13</v>
      </c>
      <c r="M4" s="1" t="s">
        <v>14</v>
      </c>
      <c r="N4" s="1" t="s">
        <v>15</v>
      </c>
    </row>
    <row r="5" spans="1:14" ht="70.8" customHeight="1" x14ac:dyDescent="0.3">
      <c r="A5" s="2">
        <v>1</v>
      </c>
      <c r="B5" s="2" t="s">
        <v>16</v>
      </c>
      <c r="C5" s="3" t="s">
        <v>17</v>
      </c>
      <c r="D5" s="2" t="s">
        <v>18</v>
      </c>
      <c r="E5" s="2" t="s">
        <v>19</v>
      </c>
      <c r="F5" s="2" t="s">
        <v>20</v>
      </c>
      <c r="G5" s="4">
        <v>5</v>
      </c>
      <c r="H5" s="4">
        <v>5</v>
      </c>
      <c r="I5" s="4">
        <v>5</v>
      </c>
      <c r="J5" s="4">
        <v>4</v>
      </c>
      <c r="K5" s="4">
        <v>4</v>
      </c>
      <c r="L5" s="4" t="s">
        <v>21</v>
      </c>
      <c r="M5" s="4" t="s">
        <v>22</v>
      </c>
      <c r="N5" s="4"/>
    </row>
    <row r="6" spans="1:14" ht="106.8" customHeight="1" x14ac:dyDescent="0.3">
      <c r="A6" s="2">
        <v>2</v>
      </c>
      <c r="B6" s="2" t="s">
        <v>23</v>
      </c>
      <c r="C6" s="3" t="s">
        <v>17</v>
      </c>
      <c r="D6" s="2" t="s">
        <v>24</v>
      </c>
      <c r="E6" s="5" t="s">
        <v>25</v>
      </c>
      <c r="F6" s="2" t="s">
        <v>26</v>
      </c>
      <c r="G6" s="4">
        <v>2</v>
      </c>
      <c r="H6" s="4">
        <v>2</v>
      </c>
      <c r="I6" s="4">
        <v>4</v>
      </c>
      <c r="J6" s="4">
        <v>4</v>
      </c>
      <c r="K6" s="4">
        <v>1</v>
      </c>
      <c r="L6" s="4" t="s">
        <v>21</v>
      </c>
      <c r="M6" s="4" t="s">
        <v>27</v>
      </c>
      <c r="N6" s="4" t="s">
        <v>28</v>
      </c>
    </row>
    <row r="7" spans="1:14" ht="81" customHeight="1" x14ac:dyDescent="0.3">
      <c r="A7" s="2">
        <v>3</v>
      </c>
      <c r="B7" s="2" t="s">
        <v>29</v>
      </c>
      <c r="C7" s="3" t="s">
        <v>17</v>
      </c>
      <c r="D7" s="5" t="s">
        <v>30</v>
      </c>
      <c r="E7" s="5" t="s">
        <v>31</v>
      </c>
      <c r="F7" s="2" t="s">
        <v>32</v>
      </c>
      <c r="G7" s="4">
        <v>4</v>
      </c>
      <c r="H7" s="4">
        <v>5</v>
      </c>
      <c r="I7" s="4">
        <v>5</v>
      </c>
      <c r="J7" s="4">
        <v>4</v>
      </c>
      <c r="K7" s="4">
        <v>5</v>
      </c>
      <c r="L7" s="4" t="s">
        <v>21</v>
      </c>
      <c r="M7" s="4" t="s">
        <v>33</v>
      </c>
      <c r="N7" s="4"/>
    </row>
    <row r="8" spans="1:14" ht="90" customHeight="1" x14ac:dyDescent="0.3">
      <c r="A8" s="2">
        <v>4</v>
      </c>
      <c r="B8" s="2" t="s">
        <v>34</v>
      </c>
      <c r="C8" s="3" t="s">
        <v>17</v>
      </c>
      <c r="D8" s="5" t="s">
        <v>35</v>
      </c>
      <c r="E8" s="5" t="s">
        <v>36</v>
      </c>
      <c r="F8" s="2" t="s">
        <v>37</v>
      </c>
      <c r="G8" s="4">
        <v>5</v>
      </c>
      <c r="H8" s="4">
        <v>5</v>
      </c>
      <c r="I8" s="4">
        <v>5</v>
      </c>
      <c r="J8" s="4">
        <v>4</v>
      </c>
      <c r="K8" s="4">
        <v>4</v>
      </c>
      <c r="L8" s="4" t="s">
        <v>21</v>
      </c>
      <c r="M8" s="4" t="s">
        <v>38</v>
      </c>
      <c r="N8" s="4"/>
    </row>
    <row r="9" spans="1:14" ht="115.2" customHeight="1" x14ac:dyDescent="0.3">
      <c r="A9" s="2">
        <v>5</v>
      </c>
      <c r="B9" s="2" t="s">
        <v>39</v>
      </c>
      <c r="C9" s="3" t="s">
        <v>17</v>
      </c>
      <c r="D9" s="5" t="s">
        <v>40</v>
      </c>
      <c r="E9" s="5" t="s">
        <v>41</v>
      </c>
      <c r="F9" s="2" t="s">
        <v>42</v>
      </c>
      <c r="G9" s="4">
        <v>4</v>
      </c>
      <c r="H9" s="4">
        <v>5</v>
      </c>
      <c r="I9" s="4">
        <v>5</v>
      </c>
      <c r="J9" s="4">
        <v>4</v>
      </c>
      <c r="K9" s="4">
        <v>4</v>
      </c>
      <c r="L9" s="4" t="s">
        <v>21</v>
      </c>
      <c r="M9" s="4" t="s">
        <v>43</v>
      </c>
      <c r="N9" s="4"/>
    </row>
    <row r="10" spans="1:14" ht="60" customHeight="1" x14ac:dyDescent="0.3">
      <c r="A10" s="2">
        <v>6</v>
      </c>
      <c r="B10" s="2" t="s">
        <v>44</v>
      </c>
      <c r="C10" s="3" t="s">
        <v>17</v>
      </c>
      <c r="D10" s="5" t="s">
        <v>45</v>
      </c>
      <c r="E10" s="5" t="s">
        <v>46</v>
      </c>
      <c r="F10" s="2" t="s">
        <v>47</v>
      </c>
      <c r="G10" s="4">
        <v>5</v>
      </c>
      <c r="H10" s="4">
        <v>5</v>
      </c>
      <c r="I10" s="4">
        <v>5</v>
      </c>
      <c r="J10" s="4">
        <v>4</v>
      </c>
      <c r="K10" s="4">
        <v>4</v>
      </c>
      <c r="L10" s="4" t="s">
        <v>21</v>
      </c>
      <c r="M10" s="4" t="s">
        <v>48</v>
      </c>
      <c r="N10" s="4"/>
    </row>
    <row r="11" spans="1:14" ht="81" customHeight="1" x14ac:dyDescent="0.3">
      <c r="A11" s="2">
        <v>7</v>
      </c>
      <c r="B11" s="2" t="s">
        <v>49</v>
      </c>
      <c r="C11" s="3" t="s">
        <v>17</v>
      </c>
      <c r="D11" s="5" t="s">
        <v>50</v>
      </c>
      <c r="E11" s="5" t="s">
        <v>51</v>
      </c>
      <c r="F11" s="2" t="s">
        <v>52</v>
      </c>
      <c r="G11" s="4">
        <v>5</v>
      </c>
      <c r="H11" s="4">
        <v>5</v>
      </c>
      <c r="I11" s="4">
        <v>5</v>
      </c>
      <c r="J11" s="4">
        <v>4</v>
      </c>
      <c r="K11" s="4">
        <v>5</v>
      </c>
      <c r="L11" s="4" t="s">
        <v>21</v>
      </c>
      <c r="M11" s="4" t="s">
        <v>53</v>
      </c>
      <c r="N11" s="4"/>
    </row>
    <row r="12" spans="1:14" ht="93" customHeight="1" x14ac:dyDescent="0.3">
      <c r="A12" s="2">
        <v>8</v>
      </c>
      <c r="B12" s="2" t="s">
        <v>54</v>
      </c>
      <c r="C12" s="3" t="s">
        <v>17</v>
      </c>
      <c r="D12" s="5" t="s">
        <v>55</v>
      </c>
      <c r="E12" s="5" t="s">
        <v>56</v>
      </c>
      <c r="F12" s="2" t="s">
        <v>57</v>
      </c>
      <c r="G12" s="4">
        <v>2</v>
      </c>
      <c r="H12" s="4">
        <v>2</v>
      </c>
      <c r="I12" s="4">
        <v>3</v>
      </c>
      <c r="J12" s="4">
        <v>4</v>
      </c>
      <c r="K12" s="4">
        <v>1</v>
      </c>
      <c r="L12" s="4" t="s">
        <v>21</v>
      </c>
      <c r="M12" s="4" t="s">
        <v>58</v>
      </c>
      <c r="N12" s="4" t="s">
        <v>28</v>
      </c>
    </row>
    <row r="13" spans="1:14" ht="96" customHeight="1" x14ac:dyDescent="0.3">
      <c r="A13" s="2">
        <v>9</v>
      </c>
      <c r="B13" s="2" t="s">
        <v>59</v>
      </c>
      <c r="C13" s="3" t="s">
        <v>17</v>
      </c>
      <c r="D13" s="5" t="s">
        <v>60</v>
      </c>
      <c r="E13" s="5" t="s">
        <v>61</v>
      </c>
      <c r="F13" s="2" t="s">
        <v>62</v>
      </c>
      <c r="G13" s="4">
        <v>4</v>
      </c>
      <c r="H13" s="4">
        <v>5</v>
      </c>
      <c r="I13" s="4">
        <v>4</v>
      </c>
      <c r="J13" s="4">
        <v>4</v>
      </c>
      <c r="K13" s="4">
        <v>4</v>
      </c>
      <c r="L13" s="4" t="s">
        <v>21</v>
      </c>
      <c r="M13" s="4" t="s">
        <v>63</v>
      </c>
      <c r="N13" s="4"/>
    </row>
    <row r="14" spans="1:14" ht="93" customHeight="1" x14ac:dyDescent="0.3">
      <c r="A14" s="2">
        <v>10</v>
      </c>
      <c r="B14" s="2" t="s">
        <v>16</v>
      </c>
      <c r="C14" s="6" t="s">
        <v>64</v>
      </c>
      <c r="D14" s="5" t="s">
        <v>65</v>
      </c>
      <c r="E14" s="5" t="s">
        <v>66</v>
      </c>
      <c r="F14" s="2" t="s">
        <v>67</v>
      </c>
      <c r="G14" s="4">
        <v>4</v>
      </c>
      <c r="H14" s="4">
        <v>5</v>
      </c>
      <c r="I14" s="4">
        <v>4</v>
      </c>
      <c r="J14" s="4">
        <v>4</v>
      </c>
      <c r="K14" s="4">
        <v>3</v>
      </c>
      <c r="L14" s="4" t="s">
        <v>21</v>
      </c>
      <c r="M14" s="4" t="s">
        <v>68</v>
      </c>
      <c r="N14" s="4"/>
    </row>
    <row r="15" spans="1:14" ht="93" customHeight="1" x14ac:dyDescent="0.3">
      <c r="A15" s="2">
        <v>11</v>
      </c>
      <c r="B15" s="2" t="s">
        <v>23</v>
      </c>
      <c r="C15" s="6" t="s">
        <v>64</v>
      </c>
      <c r="D15" s="5" t="s">
        <v>69</v>
      </c>
      <c r="E15" s="5" t="s">
        <v>70</v>
      </c>
      <c r="F15" s="2" t="s">
        <v>71</v>
      </c>
      <c r="G15" s="4">
        <v>3</v>
      </c>
      <c r="H15" s="4">
        <v>3</v>
      </c>
      <c r="I15" s="4">
        <v>4</v>
      </c>
      <c r="J15" s="4">
        <v>4</v>
      </c>
      <c r="K15" s="4">
        <v>3</v>
      </c>
      <c r="L15" s="4" t="s">
        <v>21</v>
      </c>
      <c r="M15" s="4" t="s">
        <v>72</v>
      </c>
      <c r="N15" s="4" t="s">
        <v>73</v>
      </c>
    </row>
    <row r="16" spans="1:14" ht="53.25" customHeight="1" x14ac:dyDescent="0.3">
      <c r="A16" s="2">
        <v>12</v>
      </c>
      <c r="B16" s="2" t="s">
        <v>34</v>
      </c>
      <c r="C16" s="6" t="s">
        <v>64</v>
      </c>
      <c r="D16" s="5" t="s">
        <v>74</v>
      </c>
      <c r="E16" s="5" t="s">
        <v>75</v>
      </c>
      <c r="F16" s="2" t="s">
        <v>76</v>
      </c>
      <c r="G16" s="4">
        <v>3</v>
      </c>
      <c r="H16" s="4">
        <v>3</v>
      </c>
      <c r="I16" s="4">
        <v>4</v>
      </c>
      <c r="J16" s="4">
        <v>4</v>
      </c>
      <c r="K16" s="4">
        <v>2</v>
      </c>
      <c r="L16" s="4" t="s">
        <v>21</v>
      </c>
      <c r="M16" s="4" t="s">
        <v>77</v>
      </c>
      <c r="N16" t="s">
        <v>73</v>
      </c>
    </row>
    <row r="17" spans="1:14" ht="68.25" customHeight="1" x14ac:dyDescent="0.3">
      <c r="A17" s="2">
        <v>13</v>
      </c>
      <c r="B17" s="2" t="s">
        <v>39</v>
      </c>
      <c r="C17" s="6" t="s">
        <v>64</v>
      </c>
      <c r="D17" s="5" t="s">
        <v>78</v>
      </c>
      <c r="E17" s="5" t="s">
        <v>79</v>
      </c>
      <c r="F17" s="2" t="s">
        <v>80</v>
      </c>
      <c r="G17" s="4">
        <v>4</v>
      </c>
      <c r="H17" s="4">
        <v>5</v>
      </c>
      <c r="I17" s="4">
        <v>4</v>
      </c>
      <c r="J17" s="4">
        <v>4</v>
      </c>
      <c r="K17" s="4">
        <v>4</v>
      </c>
      <c r="L17" s="4" t="s">
        <v>21</v>
      </c>
      <c r="M17" s="4" t="s">
        <v>81</v>
      </c>
      <c r="N17" s="4"/>
    </row>
    <row r="18" spans="1:14" ht="81.75" customHeight="1" x14ac:dyDescent="0.3">
      <c r="A18" s="2">
        <v>14</v>
      </c>
      <c r="B18" s="2" t="s">
        <v>29</v>
      </c>
      <c r="C18" s="6" t="s">
        <v>64</v>
      </c>
      <c r="D18" s="5" t="s">
        <v>82</v>
      </c>
      <c r="E18" s="5" t="s">
        <v>83</v>
      </c>
      <c r="F18" s="2" t="s">
        <v>84</v>
      </c>
      <c r="G18" s="4">
        <v>4</v>
      </c>
      <c r="H18" s="4">
        <v>4</v>
      </c>
      <c r="I18" s="4">
        <v>3</v>
      </c>
      <c r="J18" s="4">
        <v>4</v>
      </c>
      <c r="K18" s="4">
        <v>3</v>
      </c>
      <c r="L18" s="4" t="s">
        <v>21</v>
      </c>
      <c r="M18" s="4" t="s">
        <v>85</v>
      </c>
      <c r="N18" t="s">
        <v>73</v>
      </c>
    </row>
    <row r="19" spans="1:14" ht="84.75" customHeight="1" x14ac:dyDescent="0.3">
      <c r="A19" s="2">
        <v>15</v>
      </c>
      <c r="B19" s="2" t="s">
        <v>44</v>
      </c>
      <c r="C19" s="6" t="s">
        <v>64</v>
      </c>
      <c r="D19" s="5" t="s">
        <v>86</v>
      </c>
      <c r="E19" s="5" t="s">
        <v>87</v>
      </c>
      <c r="F19" s="2" t="s">
        <v>88</v>
      </c>
      <c r="G19" s="4">
        <v>5</v>
      </c>
      <c r="H19" s="4">
        <v>5</v>
      </c>
      <c r="I19" s="4">
        <v>4</v>
      </c>
      <c r="J19" s="4">
        <v>4</v>
      </c>
      <c r="K19" s="4">
        <v>4</v>
      </c>
      <c r="L19" s="4" t="s">
        <v>21</v>
      </c>
      <c r="M19" s="4" t="s">
        <v>89</v>
      </c>
      <c r="N19" s="4"/>
    </row>
    <row r="20" spans="1:14" ht="67.2" customHeight="1" x14ac:dyDescent="0.3">
      <c r="A20" s="2">
        <v>16</v>
      </c>
      <c r="B20" s="2" t="s">
        <v>90</v>
      </c>
      <c r="C20" s="6" t="s">
        <v>64</v>
      </c>
      <c r="D20" s="5" t="s">
        <v>91</v>
      </c>
      <c r="E20" s="5" t="s">
        <v>92</v>
      </c>
      <c r="F20" s="2" t="s">
        <v>93</v>
      </c>
      <c r="G20" s="4">
        <v>3</v>
      </c>
      <c r="H20" s="4">
        <v>3</v>
      </c>
      <c r="I20" s="4">
        <v>3</v>
      </c>
      <c r="J20" s="4">
        <v>4</v>
      </c>
      <c r="K20" s="4">
        <v>2</v>
      </c>
      <c r="L20" s="4" t="s">
        <v>21</v>
      </c>
      <c r="M20" s="4" t="s">
        <v>94</v>
      </c>
      <c r="N20" s="4" t="s">
        <v>28</v>
      </c>
    </row>
    <row r="21" spans="1:14" ht="69.599999999999994" customHeight="1" x14ac:dyDescent="0.3">
      <c r="A21" s="2">
        <v>17</v>
      </c>
      <c r="B21" s="2" t="s">
        <v>23</v>
      </c>
      <c r="C21" s="6" t="s">
        <v>64</v>
      </c>
      <c r="D21" s="2" t="s">
        <v>95</v>
      </c>
      <c r="E21" s="2" t="s">
        <v>96</v>
      </c>
      <c r="F21" s="2" t="s">
        <v>97</v>
      </c>
      <c r="G21" s="4">
        <v>4</v>
      </c>
      <c r="H21" s="4">
        <v>4</v>
      </c>
      <c r="I21" s="4">
        <v>3</v>
      </c>
      <c r="J21" s="4">
        <v>4</v>
      </c>
      <c r="K21" s="4">
        <v>3</v>
      </c>
      <c r="L21" s="4" t="s">
        <v>21</v>
      </c>
      <c r="M21" s="4" t="s">
        <v>98</v>
      </c>
      <c r="N21" t="s">
        <v>73</v>
      </c>
    </row>
    <row r="22" spans="1:14" ht="54" customHeight="1" x14ac:dyDescent="0.3">
      <c r="A22" s="2">
        <v>18</v>
      </c>
      <c r="B22" s="2" t="s">
        <v>16</v>
      </c>
      <c r="C22" s="6" t="s">
        <v>64</v>
      </c>
      <c r="D22" s="2" t="s">
        <v>99</v>
      </c>
      <c r="E22" s="2" t="s">
        <v>100</v>
      </c>
      <c r="F22" s="2" t="s">
        <v>101</v>
      </c>
      <c r="G22" s="4">
        <v>3</v>
      </c>
      <c r="H22" s="4">
        <v>3</v>
      </c>
      <c r="I22" s="4">
        <v>4</v>
      </c>
      <c r="J22" s="4">
        <v>4</v>
      </c>
      <c r="K22" s="4">
        <v>2</v>
      </c>
      <c r="L22" s="4" t="s">
        <v>21</v>
      </c>
      <c r="M22" s="4" t="s">
        <v>102</v>
      </c>
      <c r="N22" t="s">
        <v>73</v>
      </c>
    </row>
    <row r="23" spans="1:14" ht="30" customHeight="1" x14ac:dyDescent="0.3">
      <c r="A23" s="2">
        <v>19</v>
      </c>
      <c r="B23" s="2" t="s">
        <v>59</v>
      </c>
      <c r="C23" s="3" t="s">
        <v>17</v>
      </c>
      <c r="D23" s="2" t="s">
        <v>103</v>
      </c>
      <c r="E23" s="2" t="s">
        <v>104</v>
      </c>
      <c r="F23" s="2" t="s">
        <v>105</v>
      </c>
      <c r="G23" s="4">
        <v>4</v>
      </c>
      <c r="H23" s="4">
        <v>3</v>
      </c>
      <c r="I23" s="4">
        <v>4</v>
      </c>
      <c r="J23" s="4">
        <v>4</v>
      </c>
      <c r="K23" s="4">
        <v>3</v>
      </c>
      <c r="L23" s="4" t="s">
        <v>21</v>
      </c>
      <c r="M23" s="4" t="s">
        <v>106</v>
      </c>
      <c r="N23" s="4"/>
    </row>
    <row r="24" spans="1:14" ht="30" customHeight="1" x14ac:dyDescent="0.3">
      <c r="A24" s="2">
        <v>20</v>
      </c>
      <c r="B24" s="2" t="s">
        <v>107</v>
      </c>
      <c r="C24" s="7" t="s">
        <v>108</v>
      </c>
      <c r="D24" s="2" t="s">
        <v>109</v>
      </c>
      <c r="E24" s="2" t="s">
        <v>110</v>
      </c>
      <c r="F24" s="2" t="s">
        <v>111</v>
      </c>
      <c r="G24" s="4">
        <v>5</v>
      </c>
      <c r="H24" s="4">
        <v>5</v>
      </c>
      <c r="I24" s="4">
        <v>5</v>
      </c>
      <c r="J24" s="4">
        <v>4</v>
      </c>
      <c r="K24" s="4">
        <v>5</v>
      </c>
      <c r="L24" s="4" t="s">
        <v>112</v>
      </c>
      <c r="M24" s="4" t="s">
        <v>113</v>
      </c>
      <c r="N24" s="4"/>
    </row>
    <row r="25" spans="1:14" ht="30" customHeight="1" x14ac:dyDescent="0.3">
      <c r="A25" s="2">
        <v>21</v>
      </c>
      <c r="B25" s="2" t="s">
        <v>107</v>
      </c>
      <c r="C25" s="7" t="s">
        <v>108</v>
      </c>
      <c r="D25" s="2" t="s">
        <v>114</v>
      </c>
      <c r="E25" s="2" t="s">
        <v>115</v>
      </c>
      <c r="F25" s="2" t="s">
        <v>116</v>
      </c>
      <c r="G25" s="4">
        <v>1</v>
      </c>
      <c r="H25" s="4">
        <v>2</v>
      </c>
      <c r="I25" s="4">
        <v>3</v>
      </c>
      <c r="J25" s="4">
        <v>4</v>
      </c>
      <c r="K25" s="4">
        <v>1</v>
      </c>
      <c r="L25" s="4" t="s">
        <v>117</v>
      </c>
      <c r="M25" s="4" t="s">
        <v>118</v>
      </c>
      <c r="N25" t="s">
        <v>119</v>
      </c>
    </row>
    <row r="26" spans="1:14" ht="30" customHeight="1" x14ac:dyDescent="0.3">
      <c r="A26" s="2">
        <v>22</v>
      </c>
      <c r="B26" s="2" t="s">
        <v>107</v>
      </c>
      <c r="C26" s="3" t="s">
        <v>17</v>
      </c>
      <c r="D26" s="2" t="s">
        <v>120</v>
      </c>
      <c r="E26" s="2" t="s">
        <v>121</v>
      </c>
      <c r="F26" s="2" t="s">
        <v>122</v>
      </c>
      <c r="G26" s="4">
        <v>4</v>
      </c>
      <c r="H26" s="4">
        <v>4</v>
      </c>
      <c r="I26" s="4">
        <v>4</v>
      </c>
      <c r="J26" s="4">
        <v>4</v>
      </c>
      <c r="K26" s="4">
        <v>3</v>
      </c>
      <c r="L26" s="4" t="s">
        <v>21</v>
      </c>
      <c r="M26" s="4" t="s">
        <v>123</v>
      </c>
      <c r="N26" s="4"/>
    </row>
    <row r="27" spans="1:14" ht="30" customHeight="1" x14ac:dyDescent="0.3">
      <c r="A27" s="2">
        <v>23</v>
      </c>
      <c r="B27" s="2" t="s">
        <v>107</v>
      </c>
      <c r="C27" s="7" t="s">
        <v>108</v>
      </c>
      <c r="D27" s="2" t="s">
        <v>124</v>
      </c>
      <c r="E27" s="2" t="s">
        <v>125</v>
      </c>
      <c r="F27" s="2" t="s">
        <v>111</v>
      </c>
      <c r="G27" s="4">
        <v>1</v>
      </c>
      <c r="H27" s="4">
        <v>2</v>
      </c>
      <c r="I27" s="4">
        <v>3</v>
      </c>
      <c r="J27" s="4">
        <v>4</v>
      </c>
      <c r="K27" s="4">
        <v>1</v>
      </c>
      <c r="L27" s="4" t="s">
        <v>117</v>
      </c>
      <c r="M27" s="4" t="s">
        <v>126</v>
      </c>
      <c r="N27" t="s">
        <v>119</v>
      </c>
    </row>
    <row r="28" spans="1:14" ht="30" customHeight="1" x14ac:dyDescent="0.3">
      <c r="A28" s="2">
        <v>24</v>
      </c>
      <c r="B28" s="2" t="s">
        <v>107</v>
      </c>
      <c r="C28" s="7" t="s">
        <v>108</v>
      </c>
      <c r="D28" s="2" t="s">
        <v>127</v>
      </c>
      <c r="E28" s="2" t="s">
        <v>128</v>
      </c>
      <c r="F28" s="2" t="s">
        <v>111</v>
      </c>
      <c r="G28" s="4">
        <v>1</v>
      </c>
      <c r="H28" s="4">
        <v>2</v>
      </c>
      <c r="I28" s="4">
        <v>3</v>
      </c>
      <c r="J28" s="4">
        <v>4</v>
      </c>
      <c r="K28" s="4">
        <v>1</v>
      </c>
      <c r="L28" s="4" t="s">
        <v>117</v>
      </c>
      <c r="M28" s="4" t="s">
        <v>129</v>
      </c>
      <c r="N28" t="s">
        <v>119</v>
      </c>
    </row>
    <row r="30" spans="1:14" ht="15" customHeight="1" x14ac:dyDescent="0.3">
      <c r="A30" s="15" t="s">
        <v>130</v>
      </c>
      <c r="B30" s="15"/>
      <c r="C30" s="15"/>
      <c r="D30" s="15"/>
      <c r="E30" s="15"/>
      <c r="F30" s="15"/>
      <c r="G30" s="15"/>
      <c r="H30" s="15"/>
      <c r="I30" s="15"/>
      <c r="J30" s="15"/>
      <c r="K30" s="15"/>
      <c r="L30" s="15"/>
      <c r="M30" s="15"/>
      <c r="N30" s="15"/>
    </row>
  </sheetData>
  <sheetProtection algorithmName="SHA-512" hashValue="16KcdIB4QuLUZ6ZxmOy08lCwaozy1MG0R2fKEYbn5pYLSpifIlGPFb+g9gxuoWun0YBc0uJ2eGyjqrz4wHAwUQ==" saltValue="wstCA4GGO3jwixSTwsxqbg==" spinCount="100000" sheet="1" objects="1" scenarios="1"/>
  <autoFilter ref="A4:N28" xr:uid="{00000000-0001-0000-0000-000000000000}"/>
  <mergeCells count="3">
    <mergeCell ref="A1:N1"/>
    <mergeCell ref="A2:N2"/>
    <mergeCell ref="A30:N30"/>
  </mergeCells>
  <dataValidations count="2">
    <dataValidation type="list" allowBlank="1" sqref="G5:K28" xr:uid="{00000000-0002-0000-0000-000000000000}">
      <formula1>"1,2,3,4,5"</formula1>
      <formula2>0</formula2>
    </dataValidation>
    <dataValidation type="list" allowBlank="1" sqref="L5:L28" xr:uid="{00000000-0002-0000-0000-000001000000}">
      <formula1>"S,N,NA"</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showGridLines="0" zoomScaleNormal="100" workbookViewId="0">
      <selection activeCell="E27" sqref="E27"/>
    </sheetView>
  </sheetViews>
  <sheetFormatPr defaultColWidth="8.6640625" defaultRowHeight="14.4" x14ac:dyDescent="0.3"/>
  <cols>
    <col min="1" max="1" width="49.88671875" customWidth="1"/>
    <col min="2" max="2" width="14.33203125" customWidth="1"/>
    <col min="3" max="4" width="5.44140625" customWidth="1"/>
    <col min="5" max="5" width="49.88671875" customWidth="1"/>
    <col min="6" max="6" width="14.33203125" customWidth="1"/>
    <col min="7" max="7" width="5.44140625" customWidth="1"/>
    <col min="8" max="8" width="49.88671875" customWidth="1"/>
    <col min="9" max="9" width="14.33203125" customWidth="1"/>
  </cols>
  <sheetData>
    <row r="1" spans="1:3" ht="21.75" customHeight="1" x14ac:dyDescent="0.3">
      <c r="A1" s="13" t="s">
        <v>143</v>
      </c>
      <c r="B1" s="13" t="s">
        <v>142</v>
      </c>
      <c r="C1" s="12"/>
    </row>
    <row r="2" spans="1:3" x14ac:dyDescent="0.3">
      <c r="A2" s="10"/>
      <c r="B2" s="10"/>
    </row>
    <row r="3" spans="1:3" ht="15" customHeight="1" x14ac:dyDescent="0.3">
      <c r="A3" s="8" t="s">
        <v>131</v>
      </c>
      <c r="B3" s="9">
        <f>IFERROR(AVERAGE('Instrumento de Teste'!G5:G28),0)</f>
        <v>3.5416666666666665</v>
      </c>
    </row>
    <row r="4" spans="1:3" ht="15" customHeight="1" x14ac:dyDescent="0.3">
      <c r="A4" s="8" t="s">
        <v>132</v>
      </c>
      <c r="B4" s="9">
        <f>IFERROR(AVERAGE('Instrumento de Teste'!H5:H28),0)</f>
        <v>3.8333333333333335</v>
      </c>
    </row>
    <row r="5" spans="1:3" ht="15" customHeight="1" x14ac:dyDescent="0.3">
      <c r="A5" s="8" t="s">
        <v>133</v>
      </c>
      <c r="B5" s="9">
        <f>IFERROR(AVERAGE('Instrumento de Teste'!I5:I28),0)</f>
        <v>4</v>
      </c>
    </row>
    <row r="6" spans="1:3" ht="15" customHeight="1" x14ac:dyDescent="0.3">
      <c r="A6" s="8" t="s">
        <v>134</v>
      </c>
      <c r="B6" s="9">
        <f>IFERROR(AVERAGE('Instrumento de Teste'!J5:J28),0)</f>
        <v>4</v>
      </c>
    </row>
    <row r="7" spans="1:3" ht="15" customHeight="1" x14ac:dyDescent="0.3">
      <c r="A7" s="8" t="s">
        <v>135</v>
      </c>
      <c r="B7" s="9">
        <f>IFERROR(AVERAGE('Instrumento de Teste'!K5:K28),0)</f>
        <v>3</v>
      </c>
    </row>
    <row r="8" spans="1:3" ht="15" customHeight="1" x14ac:dyDescent="0.3">
      <c r="A8" s="11"/>
      <c r="B8" s="10"/>
    </row>
    <row r="9" spans="1:3" ht="15" customHeight="1" x14ac:dyDescent="0.3">
      <c r="A9" s="8" t="s">
        <v>136</v>
      </c>
      <c r="B9" s="9">
        <f>IFERROR(AVERAGEIF('Instrumento de Teste'!C5:C28,"Direta",'Instrumento de Teste'!G5:G28),0)</f>
        <v>4</v>
      </c>
    </row>
    <row r="10" spans="1:3" ht="15" customHeight="1" x14ac:dyDescent="0.3">
      <c r="A10" s="8" t="s">
        <v>137</v>
      </c>
      <c r="B10" s="9">
        <f>IFERROR(AVERAGEIF('Instrumento de Teste'!C5:C28,"Síntese",'Instrumento de Teste'!G5:G28),0)</f>
        <v>3.6666666666666665</v>
      </c>
    </row>
    <row r="11" spans="1:3" ht="15" customHeight="1" x14ac:dyDescent="0.3">
      <c r="A11" s="8" t="s">
        <v>138</v>
      </c>
      <c r="B11" s="9">
        <f>IFERROR(AVERAGEIF('Instrumento de Teste'!C5:C28,"Armadilha",'Instrumento de Teste'!G5:G28),0)</f>
        <v>2</v>
      </c>
    </row>
    <row r="12" spans="1:3" ht="15" customHeight="1" x14ac:dyDescent="0.3">
      <c r="A12" s="11"/>
      <c r="B12" s="10"/>
    </row>
    <row r="13" spans="1:3" ht="15" customHeight="1" x14ac:dyDescent="0.3">
      <c r="A13" s="8" t="s">
        <v>139</v>
      </c>
      <c r="B13" s="9">
        <f>COUNTIFS('Instrumento de Teste'!C5:C28,"Armadilha",'Instrumento de Teste'!L5:L28,"S")</f>
        <v>1</v>
      </c>
    </row>
    <row r="14" spans="1:3" ht="15" customHeight="1" x14ac:dyDescent="0.3">
      <c r="A14" s="8" t="s">
        <v>140</v>
      </c>
      <c r="B14" s="9">
        <f>COUNTIF('Instrumento de Teste'!C5:C28,"Armadilha")</f>
        <v>4</v>
      </c>
    </row>
    <row r="15" spans="1:3" ht="15" customHeight="1" x14ac:dyDescent="0.3">
      <c r="A15" s="8" t="s">
        <v>141</v>
      </c>
      <c r="B15" s="9">
        <f>IFERROR(B13/B14*100,0)</f>
        <v>25</v>
      </c>
    </row>
    <row r="16" spans="1:3" x14ac:dyDescent="0.3">
      <c r="A16" s="10"/>
      <c r="B16" s="10"/>
    </row>
  </sheetData>
  <sheetProtection algorithmName="SHA-512" hashValue="Nr0OL3zWvLvE8pwKF96O6sZqAulB2QP3qi9gxE6VE5B6eFikKvD0ZAWv5OmSpnPeSThjiSlddivTeB42+n+w3Q==" saltValue="YQY3pEo/m4/Jgo6loSpxuw==" spinCount="100000"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2</vt:i4>
      </vt:variant>
    </vt:vector>
  </HeadingPairs>
  <TitlesOfParts>
    <vt:vector size="2" baseType="lpstr">
      <vt:lpstr>Instrumento de Teste</vt:lpstr>
      <vt:lpstr>Resumo e Médias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Van Pontes</cp:lastModifiedBy>
  <cp:revision>0</cp:revision>
  <dcterms:created xsi:type="dcterms:W3CDTF">2026-06-17T14:09:31Z</dcterms:created>
  <dcterms:modified xsi:type="dcterms:W3CDTF">2026-06-21T21:40:29Z</dcterms:modified>
  <dc:language>en-US</dc:language>
</cp:coreProperties>
</file>